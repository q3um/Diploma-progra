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Счета\2021\Сентябрь\АО Рязанский Радиозавод\"/>
    </mc:Choice>
  </mc:AlternateContent>
  <bookViews>
    <workbookView xWindow="-38520" yWindow="-120" windowWidth="38640" windowHeight="15840" tabRatio="775"/>
  </bookViews>
  <sheets>
    <sheet name="НДС внутри" sheetId="24" r:id="rId1"/>
    <sheet name="Data" sheetId="4" r:id="rId2"/>
  </sheets>
  <functionGroups builtInGroupCount="18"/>
  <definedNames>
    <definedName name="FirstRun">Data!$A$2</definedName>
    <definedName name="img">'НДС внутри'!$S$60</definedName>
    <definedName name="kpDate">#REF!</definedName>
    <definedName name="kpDate1">#REF!</definedName>
    <definedName name="kpNum">#REF!</definedName>
    <definedName name="kpNumber">#REF!</definedName>
    <definedName name="LetterOfName" localSheetId="0">Data!#REF!</definedName>
    <definedName name="n" localSheetId="0">Data!#REF!</definedName>
    <definedName name="Number" localSheetId="0">Data!#REF!</definedName>
    <definedName name="pdfName">Data!$A$3</definedName>
    <definedName name="rKpDate">'НДС внутри'!$B$7</definedName>
    <definedName name="rKpNum">'НДС внутри'!$B$6</definedName>
    <definedName name="term">'НДС внутри'!$A$80</definedName>
    <definedName name="TmplPath">Data!$A$1</definedName>
    <definedName name="Total">'НДС внутри'!$AQ$16</definedName>
    <definedName name="Total1">'НДС внутри'!$AE$59</definedName>
    <definedName name="Total2">'НДС внутри'!$AE$60</definedName>
    <definedName name="Total3">'НДС внутри'!$AE$61</definedName>
    <definedName name="Total4">'НДС внутри'!$B$62</definedName>
    <definedName name="Total5">'НДС внутри'!$B$63</definedName>
    <definedName name="Total6">'НДС внутри'!$B$64</definedName>
    <definedName name="vaNumDate">#REF!</definedName>
    <definedName name="vaNumDate1">#REF!</definedName>
    <definedName name="vatNumDate">#REF!</definedName>
    <definedName name="vnNumDate">#REF!</definedName>
    <definedName name="vwBuyer" localSheetId="0">'НДС внутри'!$F$22</definedName>
    <definedName name="vwNumDate" localSheetId="0">'НДС внутри'!$B$16</definedName>
    <definedName name="vwNumDate2">#REF!</definedName>
    <definedName name="vwNumDateAdded">#REF!</definedName>
    <definedName name="vwtNumDate">#REF!</definedName>
    <definedName name="_xlnm.Print_Area" localSheetId="0">'НДС внутри'!$A$1:$AL$80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Q58" i="24" l="1"/>
  <c r="AU58" i="24"/>
  <c r="AF28" i="24" l="1"/>
  <c r="AF29" i="24"/>
  <c r="AF30" i="24"/>
  <c r="AF31" i="24"/>
  <c r="AF32" i="24"/>
  <c r="AF33" i="24"/>
  <c r="AF34" i="24"/>
  <c r="AF35" i="24"/>
  <c r="AF36" i="24"/>
  <c r="AF37" i="24"/>
  <c r="AF38" i="24"/>
  <c r="AF39" i="24"/>
  <c r="AF40" i="24"/>
  <c r="AF41" i="24"/>
  <c r="AF42" i="24"/>
  <c r="AF43" i="24"/>
  <c r="AF44" i="24"/>
  <c r="AF45" i="24"/>
  <c r="AF46" i="24"/>
  <c r="AF47" i="24"/>
  <c r="AF48" i="24"/>
  <c r="AF49" i="24"/>
  <c r="AF50" i="24"/>
  <c r="AF51" i="24"/>
  <c r="AF52" i="24"/>
  <c r="AF53" i="24"/>
  <c r="AF54" i="24"/>
  <c r="AF55" i="24"/>
  <c r="AF56" i="24"/>
  <c r="AF57" i="24"/>
  <c r="AF27" i="24"/>
  <c r="AC57" i="24" l="1"/>
  <c r="W57" i="24"/>
  <c r="D57" i="24"/>
  <c r="B57" i="24"/>
  <c r="AC56" i="24"/>
  <c r="W56" i="24"/>
  <c r="D56" i="24"/>
  <c r="B56" i="24"/>
  <c r="AC55" i="24"/>
  <c r="W55" i="24"/>
  <c r="D55" i="24"/>
  <c r="B55" i="24"/>
  <c r="AC54" i="24"/>
  <c r="W54" i="24"/>
  <c r="D54" i="24"/>
  <c r="B54" i="24"/>
  <c r="AC53" i="24"/>
  <c r="W53" i="24"/>
  <c r="D53" i="24"/>
  <c r="B53" i="24"/>
  <c r="AC52" i="24"/>
  <c r="W52" i="24"/>
  <c r="D52" i="24"/>
  <c r="B52" i="24"/>
  <c r="AC51" i="24"/>
  <c r="W51" i="24"/>
  <c r="D51" i="24"/>
  <c r="B51" i="24"/>
  <c r="AC50" i="24"/>
  <c r="W50" i="24"/>
  <c r="D50" i="24"/>
  <c r="B50" i="24"/>
  <c r="AC49" i="24"/>
  <c r="W49" i="24"/>
  <c r="D49" i="24"/>
  <c r="B49" i="24"/>
  <c r="AC48" i="24"/>
  <c r="W48" i="24"/>
  <c r="D48" i="24"/>
  <c r="B48" i="24"/>
  <c r="AC47" i="24"/>
  <c r="W47" i="24"/>
  <c r="D47" i="24"/>
  <c r="B47" i="24"/>
  <c r="AC46" i="24"/>
  <c r="W46" i="24"/>
  <c r="D46" i="24"/>
  <c r="B46" i="24"/>
  <c r="AC45" i="24"/>
  <c r="W45" i="24"/>
  <c r="D45" i="24"/>
  <c r="B45" i="24"/>
  <c r="AC44" i="24"/>
  <c r="W44" i="24"/>
  <c r="D44" i="24"/>
  <c r="B44" i="24"/>
  <c r="AC43" i="24"/>
  <c r="W43" i="24"/>
  <c r="D43" i="24"/>
  <c r="B43" i="24"/>
  <c r="AC42" i="24"/>
  <c r="W42" i="24"/>
  <c r="D42" i="24"/>
  <c r="B42" i="24"/>
  <c r="AC41" i="24"/>
  <c r="W41" i="24"/>
  <c r="D41" i="24"/>
  <c r="B41" i="24"/>
  <c r="AC40" i="24"/>
  <c r="W40" i="24"/>
  <c r="D40" i="24"/>
  <c r="B40" i="24"/>
  <c r="AC39" i="24"/>
  <c r="W39" i="24"/>
  <c r="D39" i="24"/>
  <c r="B39" i="24"/>
  <c r="AC38" i="24"/>
  <c r="W38" i="24"/>
  <c r="D38" i="24"/>
  <c r="B38" i="24"/>
  <c r="AC37" i="24"/>
  <c r="W37" i="24"/>
  <c r="D37" i="24"/>
  <c r="B37" i="24"/>
  <c r="AC36" i="24"/>
  <c r="W36" i="24"/>
  <c r="D36" i="24"/>
  <c r="B36" i="24"/>
  <c r="AC35" i="24"/>
  <c r="W35" i="24"/>
  <c r="D35" i="24"/>
  <c r="B35" i="24"/>
  <c r="AC34" i="24"/>
  <c r="W34" i="24"/>
  <c r="D34" i="24"/>
  <c r="B34" i="24"/>
  <c r="AC33" i="24"/>
  <c r="W33" i="24"/>
  <c r="D33" i="24"/>
  <c r="B33" i="24"/>
  <c r="AC32" i="24"/>
  <c r="W32" i="24"/>
  <c r="D32" i="24"/>
  <c r="B32" i="24"/>
  <c r="AC31" i="24"/>
  <c r="W31" i="24"/>
  <c r="D31" i="24"/>
  <c r="B31" i="24"/>
  <c r="AC30" i="24"/>
  <c r="W30" i="24"/>
  <c r="D30" i="24"/>
  <c r="B30" i="24"/>
  <c r="AC29" i="24"/>
  <c r="W29" i="24"/>
  <c r="D29" i="24"/>
  <c r="B29" i="24"/>
  <c r="AC28" i="24"/>
  <c r="W28" i="24"/>
  <c r="D28" i="24"/>
  <c r="B28" i="24"/>
  <c r="AC27" i="24"/>
  <c r="W27" i="24"/>
  <c r="D27" i="24"/>
  <c r="B27" i="24"/>
  <c r="AF59" i="24" l="1"/>
  <c r="AF61" i="24" l="1"/>
  <c r="AQ16" i="24" s="1"/>
  <c r="AF60" i="24"/>
  <c r="B63" i="24"/>
  <c r="B62" i="24" l="1"/>
</calcChain>
</file>

<file path=xl/sharedStrings.xml><?xml version="1.0" encoding="utf-8"?>
<sst xmlns="http://schemas.openxmlformats.org/spreadsheetml/2006/main" count="114" uniqueCount="71">
  <si>
    <t>№</t>
  </si>
  <si>
    <t>Товары (работы, услуги)</t>
  </si>
  <si>
    <t>Кол-во</t>
  </si>
  <si>
    <t>Ед.</t>
  </si>
  <si>
    <t>Цена</t>
  </si>
  <si>
    <t>Сумма</t>
  </si>
  <si>
    <t>Наименование</t>
  </si>
  <si>
    <t>Количество</t>
  </si>
  <si>
    <t>Коэффициент</t>
  </si>
  <si>
    <t>шт.</t>
  </si>
  <si>
    <t>Итого:</t>
  </si>
  <si>
    <t>В том числе НДС:</t>
  </si>
  <si>
    <t>Всего к оплате:</t>
  </si>
  <si>
    <t>Генеральный директор</t>
  </si>
  <si>
    <t>Банк получателя</t>
  </si>
  <si>
    <t>БИК</t>
  </si>
  <si>
    <t>Кор.Сч. №</t>
  </si>
  <si>
    <t>30101810845250000999</t>
  </si>
  <si>
    <t>ИНН</t>
  </si>
  <si>
    <t xml:space="preserve">КПП  </t>
  </si>
  <si>
    <t>Р.Сч. №</t>
  </si>
  <si>
    <t>Получатель</t>
  </si>
  <si>
    <t>Поставщик:</t>
  </si>
  <si>
    <t>Покупатель:</t>
  </si>
  <si>
    <t>Примечание</t>
  </si>
  <si>
    <t>OOO</t>
  </si>
  <si>
    <t>РЭК2 ИНН 7724444250</t>
  </si>
  <si>
    <t>ТОЧКА ПАО БАНКА "ФК ОТКРЫТИЕ"</t>
  </si>
  <si>
    <t>МОДУЛЬБАНК</t>
  </si>
  <si>
    <t>ТОЧКА</t>
  </si>
  <si>
    <t>ТОЧКА1</t>
  </si>
  <si>
    <t>МОДУЛЬБАНК1</t>
  </si>
  <si>
    <t>ЛОКО-БАНК1</t>
  </si>
  <si>
    <t>044525999</t>
  </si>
  <si>
    <t>МОСКОВСКИЙ ФИЛИАЛ АО КБ "МОДУЛЬБАНК"</t>
  </si>
  <si>
    <t>044525092</t>
  </si>
  <si>
    <t>30101810645250000092</t>
  </si>
  <si>
    <t>40702810270010062052</t>
  </si>
  <si>
    <t>КБ "ЛОКО-БАНК" (АО)</t>
  </si>
  <si>
    <t>044525161</t>
  </si>
  <si>
    <t>30101810945250000161</t>
  </si>
  <si>
    <t>40702810300069181002</t>
  </si>
  <si>
    <t>40702810001500021095</t>
  </si>
  <si>
    <t>40702810170010075505</t>
  </si>
  <si>
    <t>РЭК1</t>
  </si>
  <si>
    <t>РЭК2</t>
  </si>
  <si>
    <t>7724444250</t>
  </si>
  <si>
    <t>772401001</t>
  </si>
  <si>
    <t>115230, г. Москва, проезд Хлебозаводский, д.7, стр.9, этаж 8, пом. XV, ком. 18п(РМ11А)</t>
  </si>
  <si>
    <t>ТОЧКА2</t>
  </si>
  <si>
    <t>МОДУЛЬБАНК2</t>
  </si>
  <si>
    <t>Итог</t>
  </si>
  <si>
    <t>119421, г. Москва, ул. Обручева, д.11, стр. 1, этаж 1, пом. I, ком. 21 офис 27
Тел.: +7(495) 241-28-95; E-mail: info@ka-elcom.ru; Web: ka-elcom.ru</t>
  </si>
  <si>
    <t>ЭЛКОМ ИНН 7728449637</t>
  </si>
  <si>
    <t>772801001</t>
  </si>
  <si>
    <t>7728449637</t>
  </si>
  <si>
    <t>119421, г. Москва, ул. Обручева, д.11, стр. 1, этаж 1, пом. I, ком. 21 офис 27</t>
  </si>
  <si>
    <t>40702810701500026837</t>
  </si>
  <si>
    <t>Прямилов В.В.</t>
  </si>
  <si>
    <t>ООО «ЭЛКОМ»</t>
  </si>
  <si>
    <t>ООО «ЭЛКОМ» ИНН: 7728449637 КПП: 772801001, 119421, г. Москва, ул. Обручева, д.11, стр. 1, этаж 1, пом. I, ком. 21 офис 27 тел.: +7 (495) 241-28-95</t>
  </si>
  <si>
    <t>C:\ЭЛКОМ_Бланки</t>
  </si>
  <si>
    <t>Грузополучатель:</t>
  </si>
  <si>
    <t>Он же</t>
  </si>
  <si>
    <t>1. Настоящий счет-договор ("Счет") является офертой ООО «ЭЛКОМ» (долее - Поставщик) Покупателю на поставку компонентов и конечных изделий ("Товара").
2. Акцепт оферты осуществляется путем оплаты Покупателем Счета и означает полное и безоговорочное согласие с условиями поставки (количество, цена, срок поставки) Товара, определенными Счетом, и действует в течение шести месяцев.
3. В случае нарушения Поставщиком сроков поставки Товара, установленных настоящим Счетом, если задержка превышает 14 (четырнадцать) рабочих дней, Покупатель имеет право требовать от Поставщика уплаты пени за каждый день просрочки в размере 0,01% от стоимости не поставленного Товара, но не более 10% от стоимости не поставленного Товара. Дни исчисления срока отгрузки считать рабочими.
4. Срок действия Счета 3 (три) банковских дня со дня выставления Счета. При несоблюдении этих условий товар отпускается по ценам на день поступления денег из свободного наличия на складе. 
5. Претензии по количеству и качеству Товара, принимаются в течение 3 (трёх) рабочих дней со дня получения Товара.
6. Отпуск Товара и выдача счета-фактуры производится при наличии типовой доверенности.
7. В платежном поручении в поле "назначение платежа" обязательно указывать полностью номер Счета.</t>
  </si>
  <si>
    <t>Счёт на оплату № 52109284836 от 28.09.2021 г.</t>
  </si>
  <si>
    <t>ООО «ЭЛКОМ»
ИНН: 7728449637 КПП: 772801001
Расчетный счет: 40702810701500026837
Название Банка:
ТОЧКА ПАО БАНКА "ФК ОТКРЫТИЕ"
Кор.счет: 30101810845250000999
БИК банка: 044525999</t>
  </si>
  <si>
    <t>ТОЧКА ПАО БАНКА "ФК ОТКРЫТИЕ"
ГОРОД: МОСКВА</t>
  </si>
  <si>
    <t>транзистор BLF246B</t>
  </si>
  <si>
    <t>транзистор BLF242</t>
  </si>
  <si>
    <t>АО "Рязанский Радиозавод" ИНН 6231006875, 390023, область Рязанская, г. Рязань, ул. Лермонтова, д. 11,  тел. (4912) 29-29-23 моб 8-920-950-83-92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</si>
</sst>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8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8"/>
      <name val="Arial"/>
      <family val="2"/>
      <charset val="204"/>
    </font>
    <font>
      <b/>
      <sz val="9"/>
      <name val="Calibri"/>
      <family val="2"/>
      <charset val="204"/>
    </font>
    <font>
      <b/>
      <sz val="14"/>
      <name val="Arial"/>
      <family val="2"/>
      <charset val="204"/>
    </font>
    <font>
      <sz val="14"/>
      <color rgb="FF000000"/>
      <name val="Calibri"/>
      <family val="2"/>
      <charset val="204"/>
    </font>
    <font>
      <sz val="8"/>
      <name val="Calibri"/>
      <family val="2"/>
      <charset val="204"/>
    </font>
    <font>
      <sz val="8.5"/>
      <name val="Arial"/>
      <family val="2"/>
      <charset val="204"/>
    </font>
    <font>
      <sz val="8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1">
    <xf numFmtId="0" fontId="0" fillId="0" borderId="0" xfId="0"/>
    <xf numFmtId="0" fontId="1" fillId="0" borderId="0" xfId="1"/>
    <xf numFmtId="0" fontId="1" fillId="0" borderId="0" xfId="1" applyAlignment="1">
      <alignment horizontal="left"/>
    </xf>
    <xf numFmtId="0" fontId="1" fillId="0" borderId="0" xfId="1" applyFill="1"/>
    <xf numFmtId="0" fontId="1" fillId="0" borderId="0" xfId="1" applyFill="1" applyBorder="1" applyAlignment="1">
      <alignment horizontal="left"/>
    </xf>
    <xf numFmtId="0" fontId="1" fillId="0" borderId="0" xfId="1" applyFill="1" applyBorder="1" applyAlignment="1">
      <alignment vertical="top" wrapText="1"/>
    </xf>
    <xf numFmtId="0" fontId="1" fillId="0" borderId="0" xfId="1" applyFill="1" applyBorder="1" applyAlignment="1">
      <alignment vertical="top"/>
    </xf>
    <xf numFmtId="0" fontId="1" fillId="0" borderId="1" xfId="1" applyFill="1" applyBorder="1" applyAlignment="1">
      <alignment vertical="top"/>
    </xf>
    <xf numFmtId="0" fontId="1" fillId="0" borderId="2" xfId="1" applyNumberFormat="1" applyFill="1" applyBorder="1" applyAlignment="1">
      <alignment vertical="center" wrapText="1"/>
    </xf>
    <xf numFmtId="0" fontId="1" fillId="0" borderId="0" xfId="1" applyNumberFormat="1" applyFill="1" applyAlignment="1">
      <alignment vertical="center" wrapText="1"/>
    </xf>
    <xf numFmtId="0" fontId="2" fillId="0" borderId="0" xfId="1" applyFont="1" applyFill="1" applyAlignment="1">
      <alignment horizontal="left"/>
    </xf>
    <xf numFmtId="0" fontId="2" fillId="0" borderId="0" xfId="1" applyFont="1" applyFill="1"/>
    <xf numFmtId="0" fontId="2" fillId="0" borderId="13" xfId="1" applyFont="1" applyFill="1" applyBorder="1" applyAlignment="1">
      <alignment horizontal="left"/>
    </xf>
    <xf numFmtId="0" fontId="3" fillId="0" borderId="0" xfId="1" applyNumberFormat="1" applyFont="1" applyFill="1" applyAlignment="1">
      <alignment horizontal="right" vertical="top"/>
    </xf>
    <xf numFmtId="0" fontId="2" fillId="0" borderId="1" xfId="1" applyFont="1" applyFill="1" applyBorder="1" applyAlignment="1">
      <alignment horizontal="left"/>
    </xf>
    <xf numFmtId="0" fontId="2" fillId="0" borderId="0" xfId="1" applyFont="1" applyFill="1" applyBorder="1" applyAlignment="1">
      <alignment horizontal="left"/>
    </xf>
    <xf numFmtId="0" fontId="3" fillId="0" borderId="0" xfId="1" applyFont="1" applyFill="1" applyAlignment="1">
      <alignment horizontal="left"/>
    </xf>
    <xf numFmtId="0" fontId="2" fillId="0" borderId="0" xfId="1" applyFont="1" applyFill="1" applyBorder="1" applyAlignment="1"/>
    <xf numFmtId="0" fontId="5" fillId="0" borderId="0" xfId="1" applyNumberFormat="1" applyFont="1" applyFill="1" applyBorder="1" applyAlignment="1"/>
    <xf numFmtId="0" fontId="2" fillId="0" borderId="0" xfId="1" applyNumberFormat="1" applyFont="1" applyFill="1" applyBorder="1" applyAlignment="1"/>
    <xf numFmtId="0" fontId="3" fillId="0" borderId="0" xfId="1" applyFont="1" applyFill="1" applyBorder="1" applyAlignment="1">
      <alignment horizontal="left"/>
    </xf>
    <xf numFmtId="0" fontId="6" fillId="0" borderId="0" xfId="1" applyFont="1" applyFill="1" applyAlignment="1">
      <alignment horizontal="left" vertical="center" indent="2"/>
    </xf>
    <xf numFmtId="0" fontId="1" fillId="0" borderId="0" xfId="1" applyFill="1" applyAlignment="1">
      <alignment horizontal="left"/>
    </xf>
    <xf numFmtId="0" fontId="1" fillId="0" borderId="0" xfId="1" applyFill="1" applyAlignment="1">
      <alignment wrapText="1"/>
    </xf>
    <xf numFmtId="49" fontId="0" fillId="0" borderId="0" xfId="0" applyNumberFormat="1"/>
    <xf numFmtId="0" fontId="1" fillId="0" borderId="0" xfId="1" applyFill="1" applyAlignment="1">
      <alignment horizontal="left"/>
    </xf>
    <xf numFmtId="4" fontId="1" fillId="0" borderId="0" xfId="1" applyNumberFormat="1" applyFill="1"/>
    <xf numFmtId="0" fontId="1" fillId="0" borderId="0" xfId="1" applyNumberFormat="1" applyFill="1" applyAlignment="1">
      <alignment vertical="center"/>
    </xf>
    <xf numFmtId="0" fontId="1" fillId="0" borderId="0" xfId="1" applyFont="1" applyFill="1" applyBorder="1"/>
    <xf numFmtId="0" fontId="1" fillId="0" borderId="0" xfId="1" applyFont="1" applyFill="1" applyBorder="1" applyAlignment="1">
      <alignment wrapText="1"/>
    </xf>
    <xf numFmtId="2" fontId="1" fillId="0" borderId="0" xfId="1" applyNumberFormat="1" applyFont="1" applyFill="1" applyBorder="1"/>
    <xf numFmtId="0" fontId="3" fillId="0" borderId="0" xfId="1" applyNumberFormat="1" applyFont="1" applyFill="1" applyAlignment="1">
      <alignment horizontal="left" vertical="top" wrapText="1"/>
    </xf>
    <xf numFmtId="0" fontId="10" fillId="0" borderId="0" xfId="1" applyNumberFormat="1" applyFont="1" applyFill="1" applyAlignment="1">
      <alignment horizontal="left" vertical="top"/>
    </xf>
    <xf numFmtId="4" fontId="3" fillId="0" borderId="0" xfId="1" applyNumberFormat="1" applyFont="1" applyFill="1" applyAlignment="1">
      <alignment horizontal="right" vertical="top"/>
    </xf>
    <xf numFmtId="4" fontId="2" fillId="0" borderId="9" xfId="1" applyNumberFormat="1" applyFont="1" applyFill="1" applyBorder="1" applyAlignment="1">
      <alignment horizontal="left" vertical="center"/>
    </xf>
    <xf numFmtId="4" fontId="2" fillId="0" borderId="10" xfId="1" applyNumberFormat="1" applyFont="1" applyFill="1" applyBorder="1" applyAlignment="1">
      <alignment horizontal="left" vertical="center"/>
    </xf>
    <xf numFmtId="4" fontId="2" fillId="0" borderId="11" xfId="1" applyNumberFormat="1" applyFont="1" applyFill="1" applyBorder="1" applyAlignment="1">
      <alignment horizontal="left" vertical="center"/>
    </xf>
    <xf numFmtId="1" fontId="2" fillId="0" borderId="7" xfId="1" applyNumberFormat="1" applyFont="1" applyFill="1" applyBorder="1" applyAlignment="1">
      <alignment horizontal="center" vertical="center"/>
    </xf>
    <xf numFmtId="1" fontId="2" fillId="0" borderId="8" xfId="1" applyNumberFormat="1" applyFont="1" applyFill="1" applyBorder="1" applyAlignment="1">
      <alignment horizontal="center" vertical="center"/>
    </xf>
    <xf numFmtId="0" fontId="2" fillId="0" borderId="9" xfId="1" applyNumberFormat="1" applyFont="1" applyFill="1" applyBorder="1" applyAlignment="1">
      <alignment horizontal="left" vertical="center" wrapText="1"/>
    </xf>
    <xf numFmtId="0" fontId="2" fillId="0" borderId="10" xfId="1" applyNumberFormat="1" applyFont="1" applyFill="1" applyBorder="1" applyAlignment="1">
      <alignment horizontal="left" vertical="center" wrapText="1"/>
    </xf>
    <xf numFmtId="0" fontId="2" fillId="0" borderId="8" xfId="1" applyNumberFormat="1" applyFont="1" applyFill="1" applyBorder="1" applyAlignment="1">
      <alignment horizontal="left" vertical="center" wrapText="1"/>
    </xf>
    <xf numFmtId="0" fontId="2" fillId="0" borderId="9" xfId="1" applyNumberFormat="1" applyFont="1" applyFill="1" applyBorder="1" applyAlignment="1">
      <alignment horizontal="left" vertical="center"/>
    </xf>
    <xf numFmtId="0" fontId="2" fillId="0" borderId="10" xfId="1" applyNumberFormat="1" applyFont="1" applyFill="1" applyBorder="1" applyAlignment="1">
      <alignment horizontal="left" vertical="center"/>
    </xf>
    <xf numFmtId="0" fontId="2" fillId="0" borderId="8" xfId="1" applyNumberFormat="1" applyFont="1" applyFill="1" applyBorder="1" applyAlignment="1">
      <alignment horizontal="left" vertical="center"/>
    </xf>
    <xf numFmtId="4" fontId="2" fillId="0" borderId="8" xfId="1" applyNumberFormat="1" applyFont="1" applyFill="1" applyBorder="1" applyAlignment="1">
      <alignment horizontal="left" vertical="center"/>
    </xf>
    <xf numFmtId="0" fontId="4" fillId="0" borderId="0" xfId="1" applyFont="1" applyFill="1" applyAlignment="1">
      <alignment horizontal="left"/>
    </xf>
    <xf numFmtId="0" fontId="3" fillId="0" borderId="0" xfId="1" quotePrefix="1" applyNumberFormat="1" applyFont="1" applyFill="1" applyAlignment="1">
      <alignment horizontal="left" vertical="top" wrapText="1"/>
    </xf>
    <xf numFmtId="0" fontId="2" fillId="0" borderId="0" xfId="1" applyNumberFormat="1" applyFont="1" applyFill="1" applyBorder="1" applyAlignment="1">
      <alignment horizontal="right"/>
    </xf>
    <xf numFmtId="0" fontId="3" fillId="0" borderId="0" xfId="1" applyNumberFormat="1" applyFont="1" applyFill="1" applyAlignment="1">
      <alignment horizontal="left" vertical="top"/>
    </xf>
    <xf numFmtId="1" fontId="2" fillId="0" borderId="28" xfId="1" applyNumberFormat="1" applyFont="1" applyFill="1" applyBorder="1" applyAlignment="1">
      <alignment horizontal="center" vertical="center"/>
    </xf>
    <xf numFmtId="1" fontId="2" fillId="0" borderId="27" xfId="1" applyNumberFormat="1" applyFont="1" applyFill="1" applyBorder="1" applyAlignment="1">
      <alignment horizontal="center" vertical="center"/>
    </xf>
    <xf numFmtId="0" fontId="2" fillId="0" borderId="24" xfId="1" applyNumberFormat="1" applyFont="1" applyFill="1" applyBorder="1" applyAlignment="1">
      <alignment horizontal="left" vertical="center" wrapText="1"/>
    </xf>
    <xf numFmtId="0" fontId="2" fillId="0" borderId="25" xfId="1" applyNumberFormat="1" applyFont="1" applyFill="1" applyBorder="1" applyAlignment="1">
      <alignment horizontal="left" vertical="center" wrapText="1"/>
    </xf>
    <xf numFmtId="0" fontId="2" fillId="0" borderId="27" xfId="1" applyNumberFormat="1" applyFont="1" applyFill="1" applyBorder="1" applyAlignment="1">
      <alignment horizontal="left" vertical="center" wrapText="1"/>
    </xf>
    <xf numFmtId="0" fontId="2" fillId="0" borderId="24" xfId="1" applyNumberFormat="1" applyFont="1" applyFill="1" applyBorder="1" applyAlignment="1">
      <alignment horizontal="left" vertical="center"/>
    </xf>
    <xf numFmtId="0" fontId="2" fillId="0" borderId="25" xfId="1" applyNumberFormat="1" applyFont="1" applyFill="1" applyBorder="1" applyAlignment="1">
      <alignment horizontal="left" vertical="center"/>
    </xf>
    <xf numFmtId="0" fontId="2" fillId="0" borderId="27" xfId="1" applyNumberFormat="1" applyFont="1" applyFill="1" applyBorder="1" applyAlignment="1">
      <alignment horizontal="left" vertical="center"/>
    </xf>
    <xf numFmtId="4" fontId="2" fillId="0" borderId="24" xfId="1" applyNumberFormat="1" applyFont="1" applyFill="1" applyBorder="1" applyAlignment="1">
      <alignment horizontal="left" vertical="center"/>
    </xf>
    <xf numFmtId="4" fontId="2" fillId="0" borderId="25" xfId="1" applyNumberFormat="1" applyFont="1" applyFill="1" applyBorder="1" applyAlignment="1">
      <alignment horizontal="left" vertical="center"/>
    </xf>
    <xf numFmtId="4" fontId="2" fillId="0" borderId="27" xfId="1" applyNumberFormat="1" applyFont="1" applyFill="1" applyBorder="1" applyAlignment="1">
      <alignment horizontal="left" vertical="center"/>
    </xf>
    <xf numFmtId="4" fontId="2" fillId="0" borderId="26" xfId="1" applyNumberFormat="1" applyFont="1" applyFill="1" applyBorder="1" applyAlignment="1">
      <alignment horizontal="left" vertical="center"/>
    </xf>
    <xf numFmtId="0" fontId="9" fillId="0" borderId="0" xfId="1" applyFont="1" applyFill="1" applyAlignment="1">
      <alignment horizontal="left" vertical="top" wrapText="1"/>
    </xf>
    <xf numFmtId="0" fontId="1" fillId="0" borderId="0" xfId="1" applyFill="1" applyBorder="1" applyAlignment="1">
      <alignment horizontal="left" vertical="top" wrapText="1"/>
    </xf>
    <xf numFmtId="0" fontId="1" fillId="0" borderId="0" xfId="1" applyFill="1" applyBorder="1" applyAlignment="1">
      <alignment horizontal="left" vertical="top"/>
    </xf>
    <xf numFmtId="0" fontId="1" fillId="0" borderId="1" xfId="1" applyFill="1" applyBorder="1" applyAlignment="1">
      <alignment horizontal="left" vertical="top"/>
    </xf>
    <xf numFmtId="0" fontId="1" fillId="0" borderId="1" xfId="1" applyNumberFormat="1" applyFill="1" applyBorder="1" applyAlignment="1">
      <alignment horizontal="left" vertical="top" wrapText="1"/>
    </xf>
    <xf numFmtId="0" fontId="4" fillId="0" borderId="14" xfId="1" applyNumberFormat="1" applyFont="1" applyFill="1" applyBorder="1" applyAlignment="1">
      <alignment horizontal="left" vertical="top" wrapText="1"/>
    </xf>
    <xf numFmtId="0" fontId="4" fillId="0" borderId="15" xfId="1" applyNumberFormat="1" applyFont="1" applyFill="1" applyBorder="1" applyAlignment="1">
      <alignment horizontal="left" vertical="top" wrapText="1"/>
    </xf>
    <xf numFmtId="0" fontId="4" fillId="0" borderId="16" xfId="1" applyNumberFormat="1" applyFont="1" applyFill="1" applyBorder="1" applyAlignment="1">
      <alignment horizontal="left" vertical="top" wrapText="1"/>
    </xf>
    <xf numFmtId="0" fontId="4" fillId="0" borderId="12" xfId="1" applyNumberFormat="1" applyFont="1" applyFill="1" applyBorder="1" applyAlignment="1">
      <alignment horizontal="left" vertical="center"/>
    </xf>
    <xf numFmtId="49" fontId="4" fillId="0" borderId="17" xfId="1" applyNumberFormat="1" applyFont="1" applyFill="1" applyBorder="1" applyAlignment="1">
      <alignment horizontal="left" vertical="center"/>
    </xf>
    <xf numFmtId="0" fontId="1" fillId="0" borderId="14" xfId="1" applyFont="1" applyFill="1" applyBorder="1" applyAlignment="1">
      <alignment horizontal="left" vertical="top" wrapText="1"/>
    </xf>
    <xf numFmtId="0" fontId="1" fillId="0" borderId="15" xfId="1" applyFont="1" applyFill="1" applyBorder="1" applyAlignment="1">
      <alignment horizontal="left" vertical="top"/>
    </xf>
    <xf numFmtId="0" fontId="1" fillId="0" borderId="16" xfId="1" applyFont="1" applyFill="1" applyBorder="1" applyAlignment="1">
      <alignment horizontal="left" vertical="top"/>
    </xf>
    <xf numFmtId="0" fontId="1" fillId="0" borderId="19" xfId="1" applyFont="1" applyFill="1" applyBorder="1" applyAlignment="1">
      <alignment horizontal="left" vertical="top"/>
    </xf>
    <xf numFmtId="0" fontId="1" fillId="0" borderId="20" xfId="1" applyFont="1" applyFill="1" applyBorder="1" applyAlignment="1">
      <alignment horizontal="left" vertical="top"/>
    </xf>
    <xf numFmtId="0" fontId="1" fillId="0" borderId="21" xfId="1" applyFont="1" applyFill="1" applyBorder="1" applyAlignment="1">
      <alignment horizontal="left" vertical="top"/>
    </xf>
    <xf numFmtId="0" fontId="4" fillId="0" borderId="8" xfId="1" applyNumberFormat="1" applyFont="1" applyFill="1" applyBorder="1" applyAlignment="1">
      <alignment horizontal="left" vertical="top"/>
    </xf>
    <xf numFmtId="0" fontId="4" fillId="0" borderId="12" xfId="1" applyNumberFormat="1" applyFont="1" applyFill="1" applyBorder="1" applyAlignment="1">
      <alignment horizontal="left" vertical="top"/>
    </xf>
    <xf numFmtId="49" fontId="4" fillId="0" borderId="18" xfId="1" applyNumberFormat="1" applyFont="1" applyFill="1" applyBorder="1" applyAlignment="1">
      <alignment horizontal="left" vertical="top"/>
    </xf>
    <xf numFmtId="0" fontId="3" fillId="0" borderId="3" xfId="1" applyNumberFormat="1" applyFont="1" applyFill="1" applyBorder="1" applyAlignment="1">
      <alignment horizontal="center" vertical="center"/>
    </xf>
    <xf numFmtId="0" fontId="3" fillId="0" borderId="4" xfId="1" applyNumberFormat="1" applyFont="1" applyFill="1" applyBorder="1" applyAlignment="1">
      <alignment horizontal="center" vertical="center"/>
    </xf>
    <xf numFmtId="0" fontId="3" fillId="0" borderId="5" xfId="1" applyNumberFormat="1" applyFont="1" applyFill="1" applyBorder="1" applyAlignment="1">
      <alignment horizontal="center" vertical="center"/>
    </xf>
    <xf numFmtId="0" fontId="3" fillId="0" borderId="2" xfId="1" applyNumberFormat="1" applyFont="1" applyFill="1" applyBorder="1" applyAlignment="1">
      <alignment horizontal="center" vertical="center"/>
    </xf>
    <xf numFmtId="0" fontId="3" fillId="0" borderId="6" xfId="1" applyNumberFormat="1" applyFont="1" applyFill="1" applyBorder="1" applyAlignment="1">
      <alignment horizontal="center" vertical="center"/>
    </xf>
    <xf numFmtId="0" fontId="7" fillId="0" borderId="0" xfId="1" applyNumberFormat="1" applyFont="1" applyFill="1" applyAlignment="1">
      <alignment horizontal="left" vertical="center"/>
    </xf>
    <xf numFmtId="0" fontId="2" fillId="0" borderId="1" xfId="1" applyFont="1" applyFill="1" applyBorder="1" applyAlignment="1">
      <alignment horizontal="left"/>
    </xf>
    <xf numFmtId="0" fontId="4" fillId="0" borderId="22" xfId="1" applyNumberFormat="1" applyFont="1" applyFill="1" applyBorder="1" applyAlignment="1">
      <alignment horizontal="left" vertical="center"/>
    </xf>
    <xf numFmtId="1" fontId="4" fillId="0" borderId="23" xfId="1" applyNumberFormat="1" applyFont="1" applyFill="1" applyBorder="1" applyAlignment="1">
      <alignment horizontal="left" vertical="center"/>
    </xf>
    <xf numFmtId="49" fontId="4" fillId="0" borderId="12" xfId="1" applyNumberFormat="1" applyFont="1" applyFill="1" applyBorder="1" applyAlignment="1">
      <alignment horizontal="left" vertical="top"/>
    </xf>
    <xf numFmtId="0" fontId="4" fillId="0" borderId="22" xfId="1" applyNumberFormat="1" applyFont="1" applyFill="1" applyBorder="1" applyAlignment="1">
      <alignment horizontal="left" vertical="top" wrapText="1"/>
    </xf>
    <xf numFmtId="0" fontId="4" fillId="0" borderId="0" xfId="1" applyNumberFormat="1" applyFont="1" applyFill="1" applyBorder="1" applyAlignment="1">
      <alignment horizontal="left" vertical="top" wrapText="1"/>
    </xf>
    <xf numFmtId="0" fontId="4" fillId="0" borderId="23" xfId="1" applyNumberFormat="1" applyFont="1" applyFill="1" applyBorder="1" applyAlignment="1">
      <alignment horizontal="left" vertical="top" wrapText="1"/>
    </xf>
    <xf numFmtId="0" fontId="4" fillId="0" borderId="19" xfId="1" applyNumberFormat="1" applyFont="1" applyFill="1" applyBorder="1" applyAlignment="1">
      <alignment horizontal="left" vertical="top" wrapText="1"/>
    </xf>
    <xf numFmtId="0" fontId="4" fillId="0" borderId="20" xfId="1" applyNumberFormat="1" applyFont="1" applyFill="1" applyBorder="1" applyAlignment="1">
      <alignment horizontal="left" vertical="top" wrapText="1"/>
    </xf>
    <xf numFmtId="0" fontId="4" fillId="0" borderId="21" xfId="1" applyNumberFormat="1" applyFont="1" applyFill="1" applyBorder="1" applyAlignment="1">
      <alignment horizontal="left" vertical="top" wrapText="1"/>
    </xf>
    <xf numFmtId="0" fontId="11" fillId="0" borderId="0" xfId="0" applyFont="1"/>
    <xf numFmtId="0" fontId="11" fillId="0" borderId="0" xfId="0" applyFont="1" applyAlignment="1">
      <alignment wrapText="1"/>
    </xf>
    <xf numFmtId="0" fontId="2" fillId="0" borderId="0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wrapText="1"/>
    </xf>
  </cellXfs>
  <cellStyles count="2">
    <cellStyle name="Обычный" xfId="0" builtinId="0"/>
    <cellStyle name="Обычный 2" xfId="1"/>
  </cellStyles>
  <dxfs count="21"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9999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160020</xdr:colOff>
      <xdr:row>0</xdr:row>
      <xdr:rowOff>22860</xdr:rowOff>
    </xdr:from>
    <xdr:to>
      <xdr:col>14</xdr:col>
      <xdr:colOff>53339</xdr:colOff>
      <xdr:row>1</xdr:row>
      <xdr:rowOff>499872</xdr:rowOff>
    </xdr:to>
    <xdr:pic>
      <xdr:nvPicPr>
        <xdr:cNvPr id="6" name="Рисунок 6" descr="элком1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0020" y="22860"/>
          <a:ext cx="2438399" cy="5303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38100</xdr:colOff>
          <xdr:row>2</xdr:row>
          <xdr:rowOff>133350</xdr:rowOff>
        </xdr:from>
        <xdr:to>
          <xdr:col>42</xdr:col>
          <xdr:colOff>1028700</xdr:colOff>
          <xdr:row>2</xdr:row>
          <xdr:rowOff>400050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57150</xdr:colOff>
          <xdr:row>1</xdr:row>
          <xdr:rowOff>76200</xdr:rowOff>
        </xdr:from>
        <xdr:to>
          <xdr:col>42</xdr:col>
          <xdr:colOff>1552575</xdr:colOff>
          <xdr:row>1</xdr:row>
          <xdr:rowOff>342900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</a:rPr>
                <a:t>Добавить строк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0</xdr:colOff>
      <xdr:row>59</xdr:row>
      <xdr:rowOff>0</xdr:rowOff>
    </xdr:from>
    <xdr:to>
      <xdr:col>33</xdr:col>
      <xdr:colOff>100965</xdr:colOff>
      <xdr:row>79</xdr:row>
      <xdr:rowOff>44978</xdr:rowOff>
    </xdr:to>
    <xdr:pic>
      <xdr:nvPicPr>
        <xdr:cNvPr id="5" name="Рисунок 4" descr="печать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l="17224"/>
        <a:stretch/>
      </xdr:blipFill>
      <xdr:spPr>
        <a:xfrm>
          <a:off x="3133725" y="9610725"/>
          <a:ext cx="2263140" cy="2511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68580</xdr:rowOff>
    </xdr:from>
    <xdr:to>
      <xdr:col>0</xdr:col>
      <xdr:colOff>2263140</xdr:colOff>
      <xdr:row>20</xdr:row>
      <xdr:rowOff>104033</xdr:rowOff>
    </xdr:to>
    <xdr:pic>
      <xdr:nvPicPr>
        <xdr:cNvPr id="4" name="Рисунок 3" descr="печать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17224"/>
        <a:stretch/>
      </xdr:blipFill>
      <xdr:spPr>
        <a:xfrm>
          <a:off x="0" y="1356360"/>
          <a:ext cx="2263140" cy="241289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7" name="vwTable395345678" displayName="vwTable395345678" ref="AP26:AU58" totalsRowCount="1" headerRowDxfId="20" dataDxfId="19" totalsRowDxfId="18" headerRowCellStyle="Обычный 2">
  <tableColumns count="6">
    <tableColumn id="1" name="№" totalsRowLabel="Итог" dataDxfId="2" totalsRowDxfId="8" dataCellStyle="Обычный 2"/>
    <tableColumn id="2" name="Наименование" totalsRowFunction="count" dataDxfId="0" totalsRowDxfId="7" dataCellStyle="Обычный 2"/>
    <tableColumn id="3" name="Количество" dataDxfId="1" totalsRowDxfId="6" dataCellStyle="Обычный 2"/>
    <tableColumn id="4" name="Цена" dataDxfId="17" totalsRowDxfId="5" dataCellStyle="Обычный 2"/>
    <tableColumn id="5" name="Коэффициент" dataDxfId="16" totalsRowDxfId="4" dataCellStyle="Обычный 2"/>
    <tableColumn id="6" name="Примечание" totalsRowFunction="count" dataDxfId="15" totalsRowDxfId="3" dataCellStyle="Обычный 2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2" name="lOOO" displayName="lOOO" ref="B1:B2" totalsRowShown="0">
  <autoFilter ref="B1:B2"/>
  <tableColumns count="1">
    <tableColumn id="1" name="OOO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3" name="lREK1" displayName="lREK1" ref="D1:D2" totalsRowShown="0">
  <autoFilter ref="D1:D2"/>
  <tableColumns count="1">
    <tableColumn id="1" name="ЭЛКОМ ИНН 77284496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lREK2" displayName="lREK2" ref="F1:F3" totalsRowShown="0">
  <autoFilter ref="F1:F3"/>
  <tableColumns count="1">
    <tableColumn id="1" name="РЭК2 ИНН 77244442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Точка1" displayName="Точка1" ref="H1:H5" totalsRowShown="0">
  <autoFilter ref="H1:H5"/>
  <tableColumns count="1">
    <tableColumn id="1" name="ТОЧКА1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Модуль1" displayName="Модуль1" ref="J1:J5" totalsRowShown="0">
  <autoFilter ref="J1:J5"/>
  <tableColumns count="1">
    <tableColumn id="1" name="МОДУЛЬБАНК1" dataDxfId="1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Локо1" displayName="Локо1" ref="L1:L5" totalsRowShown="0">
  <autoFilter ref="L1:L5"/>
  <tableColumns count="1">
    <tableColumn id="1" name="ЛОКО-БАНК1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Точка2" displayName="Точка2" ref="N1:N5" totalsRowShown="0">
  <autoFilter ref="N1:N5"/>
  <tableColumns count="1">
    <tableColumn id="1" name="ТОЧКА2" dataDxf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Модуль2" displayName="Модуль2" ref="P1:P5" totalsRowShown="0">
  <autoFilter ref="P1:P5"/>
  <tableColumns count="1">
    <tableColumn id="1" name="МОДУЛЬБАНК2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РЭК1" displayName="РЭК1" ref="R1:R4" totalsRowShown="0">
  <autoFilter ref="R1:R4"/>
  <tableColumns count="1">
    <tableColumn id="1" name="РЭК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РЭК2" displayName="РЭК2" ref="T1:T4" totalsRowShown="0">
  <autoFilter ref="T1:T4"/>
  <tableColumns count="1">
    <tableColumn id="1" name="РЭК2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nk">
    <tabColor theme="9" tint="0.59999389629810485"/>
    <outlinePr summaryBelow="0" summaryRight="0"/>
    <pageSetUpPr autoPageBreaks="0"/>
  </sheetPr>
  <dimension ref="A1:AU87"/>
  <sheetViews>
    <sheetView tabSelected="1" topLeftCell="A7" zoomScaleNormal="100" zoomScaleSheetLayoutView="100" workbookViewId="0">
      <selection activeCell="G22" sqref="G22:AL22"/>
    </sheetView>
  </sheetViews>
  <sheetFormatPr defaultColWidth="8.28515625" defaultRowHeight="11.25" x14ac:dyDescent="0.2"/>
  <cols>
    <col min="1" max="1" width="2.42578125" style="22" customWidth="1"/>
    <col min="2" max="17" width="2.7109375" style="22" customWidth="1"/>
    <col min="18" max="18" width="1.140625" style="22" customWidth="1"/>
    <col min="19" max="19" width="1.5703125" style="22" customWidth="1"/>
    <col min="20" max="21" width="2.7109375" style="22" customWidth="1"/>
    <col min="22" max="22" width="1.140625" style="22" customWidth="1"/>
    <col min="23" max="23" width="1.5703125" style="22" customWidth="1"/>
    <col min="24" max="24" width="2.7109375" style="22" customWidth="1"/>
    <col min="25" max="25" width="1.85546875" style="22" customWidth="1"/>
    <col min="26" max="26" width="0.7109375" style="22" customWidth="1"/>
    <col min="27" max="27" width="2.140625" style="22" customWidth="1"/>
    <col min="28" max="28" width="1.5703125" style="22" customWidth="1"/>
    <col min="29" max="30" width="2.7109375" style="22" customWidth="1"/>
    <col min="31" max="31" width="4" style="22" customWidth="1"/>
    <col min="32" max="32" width="1.5703125" style="22" customWidth="1"/>
    <col min="33" max="36" width="2.7109375" style="22" customWidth="1"/>
    <col min="37" max="37" width="1.42578125" style="22" customWidth="1"/>
    <col min="38" max="38" width="0.5703125" style="22" customWidth="1"/>
    <col min="39" max="41" width="3.7109375" style="3" customWidth="1"/>
    <col min="42" max="42" width="4.42578125" style="3" customWidth="1"/>
    <col min="43" max="43" width="47.42578125" style="3" customWidth="1"/>
    <col min="44" max="44" width="15" style="3" bestFit="1" customWidth="1"/>
    <col min="45" max="45" width="7.28515625" style="3" customWidth="1"/>
    <col min="46" max="46" width="13.28515625" style="3" customWidth="1"/>
    <col min="47" max="47" width="12.140625" style="3" bestFit="1" customWidth="1"/>
    <col min="48" max="16384" width="8.28515625" style="1"/>
  </cols>
  <sheetData>
    <row r="1" spans="1:47" ht="4.5" customHeight="1" x14ac:dyDescent="0.2"/>
    <row r="2" spans="1:47" ht="40.5" customHeight="1" x14ac:dyDescent="0.2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5"/>
      <c r="U2" s="6"/>
      <c r="V2" s="6"/>
      <c r="W2" s="63" t="s">
        <v>66</v>
      </c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Q2" s="3">
        <v>31</v>
      </c>
    </row>
    <row r="3" spans="1:47" s="2" customFormat="1" ht="58.5" customHeight="1" thickBot="1" x14ac:dyDescent="0.25">
      <c r="A3" s="22"/>
      <c r="B3" s="66" t="s">
        <v>52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7"/>
      <c r="U3" s="7"/>
      <c r="V3" s="7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22"/>
      <c r="AN3" s="22"/>
      <c r="AO3" s="22"/>
      <c r="AP3" s="22"/>
      <c r="AQ3" s="22"/>
      <c r="AR3" s="22"/>
      <c r="AS3" s="22"/>
      <c r="AT3" s="22"/>
      <c r="AU3" s="22"/>
    </row>
    <row r="4" spans="1:47" s="2" customFormat="1" ht="3.75" customHeight="1" x14ac:dyDescent="0.2">
      <c r="A4" s="22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22"/>
      <c r="AN4" s="22"/>
      <c r="AO4" s="22"/>
      <c r="AP4" s="22"/>
      <c r="AQ4" s="22"/>
      <c r="AR4" s="22"/>
      <c r="AS4" s="22"/>
      <c r="AT4" s="22"/>
      <c r="AU4" s="22"/>
    </row>
    <row r="5" spans="1:47" x14ac:dyDescent="0.2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</row>
    <row r="6" spans="1:47" x14ac:dyDescent="0.2">
      <c r="A6" s="25"/>
      <c r="B6" s="27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</row>
    <row r="7" spans="1:47" ht="11.25" customHeight="1" x14ac:dyDescent="0.2"/>
    <row r="8" spans="1:47" ht="12" customHeight="1" x14ac:dyDescent="0.2">
      <c r="B8" s="67" t="s">
        <v>14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9"/>
      <c r="U8" s="70" t="s">
        <v>15</v>
      </c>
      <c r="V8" s="70"/>
      <c r="W8" s="70"/>
      <c r="X8" s="70"/>
      <c r="Y8" s="71" t="s">
        <v>33</v>
      </c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</row>
    <row r="9" spans="1:47" ht="11.25" customHeight="1" x14ac:dyDescent="0.2">
      <c r="B9" s="72" t="s">
        <v>67</v>
      </c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4"/>
      <c r="U9" s="78" t="s">
        <v>16</v>
      </c>
      <c r="V9" s="79"/>
      <c r="W9" s="79"/>
      <c r="X9" s="79"/>
      <c r="Y9" s="80" t="s">
        <v>17</v>
      </c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</row>
    <row r="10" spans="1:47" ht="11.25" customHeight="1" x14ac:dyDescent="0.2">
      <c r="B10" s="75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7"/>
      <c r="U10" s="78"/>
      <c r="V10" s="79"/>
      <c r="W10" s="79"/>
      <c r="X10" s="79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</row>
    <row r="11" spans="1:47" ht="12" x14ac:dyDescent="0.2">
      <c r="B11" s="88" t="s">
        <v>18</v>
      </c>
      <c r="C11" s="88"/>
      <c r="D11" s="89">
        <v>7728449637</v>
      </c>
      <c r="E11" s="89"/>
      <c r="F11" s="89"/>
      <c r="G11" s="89"/>
      <c r="H11" s="89"/>
      <c r="I11" s="89"/>
      <c r="J11" s="89"/>
      <c r="K11" s="88" t="s">
        <v>19</v>
      </c>
      <c r="L11" s="88"/>
      <c r="M11" s="89">
        <v>772801001</v>
      </c>
      <c r="N11" s="89"/>
      <c r="O11" s="89"/>
      <c r="P11" s="89"/>
      <c r="Q11" s="89"/>
      <c r="R11" s="89"/>
      <c r="S11" s="89"/>
      <c r="T11" s="89"/>
      <c r="U11" s="79" t="s">
        <v>20</v>
      </c>
      <c r="V11" s="79"/>
      <c r="W11" s="79"/>
      <c r="X11" s="79"/>
      <c r="Y11" s="90" t="s">
        <v>57</v>
      </c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</row>
    <row r="12" spans="1:47" ht="11.25" customHeight="1" x14ac:dyDescent="0.2">
      <c r="B12" s="67" t="s">
        <v>21</v>
      </c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9"/>
      <c r="U12" s="79"/>
      <c r="V12" s="79"/>
      <c r="W12" s="79"/>
      <c r="X12" s="79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</row>
    <row r="13" spans="1:47" ht="11.25" customHeight="1" x14ac:dyDescent="0.2">
      <c r="B13" s="91" t="s">
        <v>59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3"/>
      <c r="U13" s="78"/>
      <c r="V13" s="79"/>
      <c r="W13" s="79"/>
      <c r="X13" s="79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</row>
    <row r="14" spans="1:47" x14ac:dyDescent="0.2">
      <c r="B14" s="94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6"/>
      <c r="U14" s="78"/>
      <c r="V14" s="79"/>
      <c r="W14" s="79"/>
      <c r="X14" s="79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</row>
    <row r="15" spans="1:47" x14ac:dyDescent="0.2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47" x14ac:dyDescent="0.2">
      <c r="B16" s="86" t="s">
        <v>65</v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Q16" s="26">
        <f>AF61</f>
        <v>6660</v>
      </c>
    </row>
    <row r="17" spans="1:47" x14ac:dyDescent="0.2"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</row>
    <row r="18" spans="1:47" s="2" customFormat="1" ht="6.95" customHeight="1" thickBot="1" x14ac:dyDescent="0.25">
      <c r="A18" s="22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22"/>
      <c r="AN18" s="22"/>
      <c r="AO18" s="22"/>
      <c r="AP18" s="22"/>
      <c r="AQ18" s="22"/>
      <c r="AR18" s="22"/>
      <c r="AS18" s="22"/>
      <c r="AT18" s="22"/>
      <c r="AU18" s="22"/>
    </row>
    <row r="19" spans="1:47" s="2" customFormat="1" ht="6.95" customHeight="1" x14ac:dyDescent="0.2">
      <c r="A19" s="22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22"/>
      <c r="AN19" s="22"/>
      <c r="AO19" s="22"/>
      <c r="AP19" s="22"/>
      <c r="AQ19" s="22"/>
      <c r="AR19" s="22"/>
      <c r="AS19" s="22"/>
      <c r="AT19" s="22"/>
      <c r="AU19" s="22"/>
    </row>
    <row r="20" spans="1:47" ht="24" customHeight="1" x14ac:dyDescent="0.2">
      <c r="A20" s="3"/>
      <c r="B20" s="32" t="s">
        <v>22</v>
      </c>
      <c r="C20" s="32"/>
      <c r="D20" s="32"/>
      <c r="E20" s="32"/>
      <c r="F20" s="32"/>
      <c r="G20" s="31" t="s">
        <v>60</v>
      </c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N20" s="22"/>
    </row>
    <row r="21" spans="1:47" s="2" customFormat="1" ht="6.95" customHeight="1" x14ac:dyDescent="0.2">
      <c r="A21" s="22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22"/>
      <c r="AN21" s="22"/>
      <c r="AO21" s="22"/>
      <c r="AP21" s="22"/>
      <c r="AQ21" s="22"/>
      <c r="AR21" s="22"/>
      <c r="AS21" s="22"/>
      <c r="AT21" s="22"/>
      <c r="AU21" s="22"/>
    </row>
    <row r="22" spans="1:47" ht="25.35" customHeight="1" x14ac:dyDescent="0.2">
      <c r="A22" s="3"/>
      <c r="B22" s="32" t="s">
        <v>23</v>
      </c>
      <c r="C22" s="32"/>
      <c r="D22" s="32"/>
      <c r="E22" s="32"/>
      <c r="F22" s="32"/>
      <c r="G22" s="31" t="s">
        <v>70</v>
      </c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N22" s="22"/>
    </row>
    <row r="23" spans="1:47" s="2" customFormat="1" ht="6.95" customHeight="1" x14ac:dyDescent="0.2">
      <c r="A23" s="25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25"/>
      <c r="AN23" s="25"/>
      <c r="AO23" s="25"/>
      <c r="AP23" s="25"/>
      <c r="AQ23" s="25"/>
      <c r="AR23" s="25"/>
      <c r="AS23" s="25"/>
      <c r="AT23" s="25"/>
      <c r="AU23" s="25"/>
    </row>
    <row r="24" spans="1:47" ht="25.35" customHeight="1" x14ac:dyDescent="0.2">
      <c r="A24" s="3"/>
      <c r="B24" s="32" t="s">
        <v>62</v>
      </c>
      <c r="C24" s="32"/>
      <c r="D24" s="32"/>
      <c r="E24" s="32"/>
      <c r="F24" s="32"/>
      <c r="G24" s="31" t="s">
        <v>63</v>
      </c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N24" s="25"/>
    </row>
    <row r="25" spans="1:47" s="2" customFormat="1" ht="6.95" customHeight="1" thickBot="1" x14ac:dyDescent="0.25">
      <c r="A25" s="22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22"/>
      <c r="AN25" s="22"/>
      <c r="AO25" s="22"/>
      <c r="AP25" s="22"/>
      <c r="AQ25" s="22"/>
      <c r="AR25" s="22"/>
      <c r="AS25" s="22"/>
      <c r="AT25" s="22"/>
      <c r="AU25" s="22"/>
    </row>
    <row r="26" spans="1:47" ht="21" customHeight="1" x14ac:dyDescent="0.2">
      <c r="B26" s="81" t="s">
        <v>0</v>
      </c>
      <c r="C26" s="82"/>
      <c r="D26" s="83" t="s">
        <v>1</v>
      </c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2"/>
      <c r="W26" s="83" t="s">
        <v>2</v>
      </c>
      <c r="X26" s="84"/>
      <c r="Y26" s="82"/>
      <c r="Z26" s="83" t="s">
        <v>3</v>
      </c>
      <c r="AA26" s="84"/>
      <c r="AB26" s="82"/>
      <c r="AC26" s="83" t="s">
        <v>4</v>
      </c>
      <c r="AD26" s="84"/>
      <c r="AE26" s="82"/>
      <c r="AF26" s="83" t="s">
        <v>5</v>
      </c>
      <c r="AG26" s="84"/>
      <c r="AH26" s="84"/>
      <c r="AI26" s="84"/>
      <c r="AJ26" s="84"/>
      <c r="AK26" s="85"/>
      <c r="AL26" s="10"/>
      <c r="AN26" s="22"/>
      <c r="AP26" s="28" t="s">
        <v>0</v>
      </c>
      <c r="AQ26" s="28" t="s">
        <v>6</v>
      </c>
      <c r="AR26" s="28" t="s">
        <v>7</v>
      </c>
      <c r="AS26" s="28" t="s">
        <v>4</v>
      </c>
      <c r="AT26" s="28" t="s">
        <v>8</v>
      </c>
      <c r="AU26" s="28" t="s">
        <v>24</v>
      </c>
    </row>
    <row r="27" spans="1:47" x14ac:dyDescent="0.2">
      <c r="A27" s="3"/>
      <c r="B27" s="37">
        <f>vwTable395345678[[#This Row],[№]]</f>
        <v>1</v>
      </c>
      <c r="C27" s="38"/>
      <c r="D27" s="39" t="str">
        <f>vwTable395345678[[#This Row],[Наименование]]</f>
        <v>транзистор BLF246B</v>
      </c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1"/>
      <c r="W27" s="42">
        <f>vwTable395345678[[#This Row],[Количество]]</f>
        <v>1</v>
      </c>
      <c r="X27" s="43"/>
      <c r="Y27" s="44"/>
      <c r="Z27" s="34" t="s">
        <v>9</v>
      </c>
      <c r="AA27" s="35"/>
      <c r="AB27" s="45"/>
      <c r="AC27" s="34">
        <f>vwTable395345678[[#This Row],[Цена]]*vwTable395345678[[#This Row],[Коэффициент]]</f>
        <v>3820</v>
      </c>
      <c r="AD27" s="35"/>
      <c r="AE27" s="45"/>
      <c r="AF27" s="34">
        <f>ROUND(vwTable395345678[[#This Row],[Цена]]*vwTable395345678[[#This Row],[Коэффициент]],2)*vwTable395345678[[#This Row],[Количество]]</f>
        <v>3820</v>
      </c>
      <c r="AG27" s="35"/>
      <c r="AH27" s="35"/>
      <c r="AI27" s="35"/>
      <c r="AJ27" s="35"/>
      <c r="AK27" s="36"/>
      <c r="AL27" s="11"/>
      <c r="AN27" s="22"/>
      <c r="AP27" s="28">
        <v>1</v>
      </c>
      <c r="AQ27" s="98" t="s">
        <v>68</v>
      </c>
      <c r="AR27" s="97">
        <v>1</v>
      </c>
      <c r="AS27" s="97">
        <v>3820</v>
      </c>
      <c r="AT27" s="97">
        <v>1</v>
      </c>
      <c r="AU27" s="28"/>
    </row>
    <row r="28" spans="1:47" ht="12" thickBot="1" x14ac:dyDescent="0.25">
      <c r="A28" s="3"/>
      <c r="B28" s="37">
        <f>vwTable395345678[[#This Row],[№]]</f>
        <v>2</v>
      </c>
      <c r="C28" s="38"/>
      <c r="D28" s="39" t="str">
        <f>vwTable395345678[[#This Row],[Наименование]]</f>
        <v>транзистор BLF242</v>
      </c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1"/>
      <c r="W28" s="42">
        <f>vwTable395345678[[#This Row],[Количество]]</f>
        <v>1</v>
      </c>
      <c r="X28" s="43"/>
      <c r="Y28" s="44"/>
      <c r="Z28" s="34" t="s">
        <v>9</v>
      </c>
      <c r="AA28" s="35"/>
      <c r="AB28" s="45"/>
      <c r="AC28" s="34">
        <f>vwTable395345678[[#This Row],[Цена]]*vwTable395345678[[#This Row],[Коэффициент]]</f>
        <v>2840</v>
      </c>
      <c r="AD28" s="35"/>
      <c r="AE28" s="45"/>
      <c r="AF28" s="34">
        <f>ROUND(vwTable395345678[[#This Row],[Цена]]*vwTable395345678[[#This Row],[Коэффициент]],2)*vwTable395345678[[#This Row],[Количество]]</f>
        <v>2840</v>
      </c>
      <c r="AG28" s="35"/>
      <c r="AH28" s="35"/>
      <c r="AI28" s="35"/>
      <c r="AJ28" s="35"/>
      <c r="AK28" s="36"/>
      <c r="AL28" s="11"/>
      <c r="AN28" s="22"/>
      <c r="AP28" s="28">
        <v>2</v>
      </c>
      <c r="AQ28" s="98" t="s">
        <v>69</v>
      </c>
      <c r="AR28" s="97">
        <v>1</v>
      </c>
      <c r="AS28" s="97">
        <v>2840</v>
      </c>
      <c r="AT28" s="28">
        <v>1</v>
      </c>
      <c r="AU28" s="28"/>
    </row>
    <row r="29" spans="1:47" ht="12" hidden="1" thickBot="1" x14ac:dyDescent="0.25">
      <c r="A29" s="3"/>
      <c r="B29" s="37">
        <f>vwTable395345678[[#This Row],[№]]</f>
        <v>3</v>
      </c>
      <c r="C29" s="38"/>
      <c r="D29" s="39">
        <f>vwTable395345678[[#This Row],[Наименование]]</f>
        <v>0</v>
      </c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1"/>
      <c r="W29" s="42">
        <f>vwTable395345678[[#This Row],[Количество]]</f>
        <v>0</v>
      </c>
      <c r="X29" s="43"/>
      <c r="Y29" s="44"/>
      <c r="Z29" s="34" t="s">
        <v>9</v>
      </c>
      <c r="AA29" s="35"/>
      <c r="AB29" s="45"/>
      <c r="AC29" s="34">
        <f>vwTable395345678[[#This Row],[Цена]]*vwTable395345678[[#This Row],[Коэффициент]]</f>
        <v>0</v>
      </c>
      <c r="AD29" s="35"/>
      <c r="AE29" s="45"/>
      <c r="AF29" s="34">
        <f>ROUND(vwTable395345678[[#This Row],[Цена]]*vwTable395345678[[#This Row],[Коэффициент]],2)*vwTable395345678[[#This Row],[Количество]]</f>
        <v>0</v>
      </c>
      <c r="AG29" s="35"/>
      <c r="AH29" s="35"/>
      <c r="AI29" s="35"/>
      <c r="AJ29" s="35"/>
      <c r="AK29" s="36"/>
      <c r="AL29" s="11"/>
      <c r="AN29" s="22"/>
      <c r="AP29" s="28">
        <v>3</v>
      </c>
      <c r="AQ29" s="29"/>
      <c r="AR29" s="28"/>
      <c r="AS29" s="30"/>
      <c r="AT29" s="28">
        <v>1</v>
      </c>
      <c r="AU29" s="28"/>
    </row>
    <row r="30" spans="1:47" ht="12" hidden="1" thickBot="1" x14ac:dyDescent="0.25">
      <c r="A30" s="3"/>
      <c r="B30" s="37">
        <f>vwTable395345678[[#This Row],[№]]</f>
        <v>4</v>
      </c>
      <c r="C30" s="38"/>
      <c r="D30" s="39">
        <f>vwTable395345678[[#This Row],[Наименование]]</f>
        <v>0</v>
      </c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1"/>
      <c r="W30" s="42">
        <f>vwTable395345678[[#This Row],[Количество]]</f>
        <v>0</v>
      </c>
      <c r="X30" s="43"/>
      <c r="Y30" s="44"/>
      <c r="Z30" s="34" t="s">
        <v>9</v>
      </c>
      <c r="AA30" s="35"/>
      <c r="AB30" s="45"/>
      <c r="AC30" s="34">
        <f>vwTable395345678[[#This Row],[Цена]]*vwTable395345678[[#This Row],[Коэффициент]]</f>
        <v>0</v>
      </c>
      <c r="AD30" s="35"/>
      <c r="AE30" s="45"/>
      <c r="AF30" s="34">
        <f>ROUND(vwTable395345678[[#This Row],[Цена]]*vwTable395345678[[#This Row],[Коэффициент]],2)*vwTable395345678[[#This Row],[Количество]]</f>
        <v>0</v>
      </c>
      <c r="AG30" s="35"/>
      <c r="AH30" s="35"/>
      <c r="AI30" s="35"/>
      <c r="AJ30" s="35"/>
      <c r="AK30" s="36"/>
      <c r="AL30" s="11"/>
      <c r="AN30" s="22"/>
      <c r="AP30" s="28">
        <v>4</v>
      </c>
      <c r="AQ30" s="29"/>
      <c r="AR30" s="28"/>
      <c r="AS30" s="30"/>
      <c r="AT30" s="28">
        <v>1</v>
      </c>
      <c r="AU30" s="28"/>
    </row>
    <row r="31" spans="1:47" ht="12" hidden="1" thickBot="1" x14ac:dyDescent="0.25">
      <c r="A31" s="3"/>
      <c r="B31" s="37">
        <f>vwTable395345678[[#This Row],[№]]</f>
        <v>5</v>
      </c>
      <c r="C31" s="38"/>
      <c r="D31" s="39">
        <f>vwTable395345678[[#This Row],[Наименование]]</f>
        <v>0</v>
      </c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1"/>
      <c r="W31" s="42">
        <f>vwTable395345678[[#This Row],[Количество]]</f>
        <v>0</v>
      </c>
      <c r="X31" s="43"/>
      <c r="Y31" s="44"/>
      <c r="Z31" s="34" t="s">
        <v>9</v>
      </c>
      <c r="AA31" s="35"/>
      <c r="AB31" s="45"/>
      <c r="AC31" s="34">
        <f>vwTable395345678[[#This Row],[Цена]]*vwTable395345678[[#This Row],[Коэффициент]]</f>
        <v>0</v>
      </c>
      <c r="AD31" s="35"/>
      <c r="AE31" s="45"/>
      <c r="AF31" s="34">
        <f>ROUND(vwTable395345678[[#This Row],[Цена]]*vwTable395345678[[#This Row],[Коэффициент]],2)*vwTable395345678[[#This Row],[Количество]]</f>
        <v>0</v>
      </c>
      <c r="AG31" s="35"/>
      <c r="AH31" s="35"/>
      <c r="AI31" s="35"/>
      <c r="AJ31" s="35"/>
      <c r="AK31" s="36"/>
      <c r="AL31" s="11"/>
      <c r="AN31" s="22"/>
      <c r="AP31" s="28">
        <v>5</v>
      </c>
      <c r="AQ31" s="29"/>
      <c r="AR31" s="28"/>
      <c r="AS31" s="30"/>
      <c r="AT31" s="28">
        <v>1</v>
      </c>
      <c r="AU31" s="28"/>
    </row>
    <row r="32" spans="1:47" ht="12" hidden="1" thickBot="1" x14ac:dyDescent="0.25">
      <c r="A32" s="3"/>
      <c r="B32" s="37">
        <f>vwTable395345678[[#This Row],[№]]</f>
        <v>6</v>
      </c>
      <c r="C32" s="38"/>
      <c r="D32" s="39">
        <f>vwTable395345678[[#This Row],[Наименование]]</f>
        <v>0</v>
      </c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1"/>
      <c r="W32" s="42">
        <f>vwTable395345678[[#This Row],[Количество]]</f>
        <v>0</v>
      </c>
      <c r="X32" s="43"/>
      <c r="Y32" s="44"/>
      <c r="Z32" s="34" t="s">
        <v>9</v>
      </c>
      <c r="AA32" s="35"/>
      <c r="AB32" s="45"/>
      <c r="AC32" s="34">
        <f>vwTable395345678[[#This Row],[Цена]]*vwTable395345678[[#This Row],[Коэффициент]]</f>
        <v>0</v>
      </c>
      <c r="AD32" s="35"/>
      <c r="AE32" s="45"/>
      <c r="AF32" s="34">
        <f>ROUND(vwTable395345678[[#This Row],[Цена]]*vwTable395345678[[#This Row],[Коэффициент]],2)*vwTable395345678[[#This Row],[Количество]]</f>
        <v>0</v>
      </c>
      <c r="AG32" s="35"/>
      <c r="AH32" s="35"/>
      <c r="AI32" s="35"/>
      <c r="AJ32" s="35"/>
      <c r="AK32" s="36"/>
      <c r="AL32" s="11"/>
      <c r="AN32" s="22"/>
      <c r="AP32" s="28">
        <v>6</v>
      </c>
      <c r="AQ32" s="29"/>
      <c r="AR32" s="28"/>
      <c r="AS32" s="30"/>
      <c r="AT32" s="28">
        <v>1</v>
      </c>
      <c r="AU32" s="28"/>
    </row>
    <row r="33" spans="1:47" ht="12" hidden="1" thickBot="1" x14ac:dyDescent="0.25">
      <c r="A33" s="3"/>
      <c r="B33" s="37">
        <f>vwTable395345678[[#This Row],[№]]</f>
        <v>7</v>
      </c>
      <c r="C33" s="38"/>
      <c r="D33" s="39">
        <f>vwTable395345678[[#This Row],[Наименование]]</f>
        <v>0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W33" s="42">
        <f>vwTable395345678[[#This Row],[Количество]]</f>
        <v>0</v>
      </c>
      <c r="X33" s="43"/>
      <c r="Y33" s="44"/>
      <c r="Z33" s="34" t="s">
        <v>9</v>
      </c>
      <c r="AA33" s="35"/>
      <c r="AB33" s="45"/>
      <c r="AC33" s="34">
        <f>vwTable395345678[[#This Row],[Цена]]*vwTable395345678[[#This Row],[Коэффициент]]</f>
        <v>0</v>
      </c>
      <c r="AD33" s="35"/>
      <c r="AE33" s="45"/>
      <c r="AF33" s="34">
        <f>ROUND(vwTable395345678[[#This Row],[Цена]]*vwTable395345678[[#This Row],[Коэффициент]],2)*vwTable395345678[[#This Row],[Количество]]</f>
        <v>0</v>
      </c>
      <c r="AG33" s="35"/>
      <c r="AH33" s="35"/>
      <c r="AI33" s="35"/>
      <c r="AJ33" s="35"/>
      <c r="AK33" s="36"/>
      <c r="AL33" s="11"/>
      <c r="AN33" s="22"/>
      <c r="AP33" s="28">
        <v>7</v>
      </c>
      <c r="AQ33" s="29"/>
      <c r="AR33" s="28"/>
      <c r="AS33" s="30"/>
      <c r="AT33" s="28">
        <v>1</v>
      </c>
      <c r="AU33" s="28"/>
    </row>
    <row r="34" spans="1:47" ht="12" hidden="1" thickBot="1" x14ac:dyDescent="0.25">
      <c r="A34" s="3"/>
      <c r="B34" s="37">
        <f>vwTable395345678[[#This Row],[№]]</f>
        <v>8</v>
      </c>
      <c r="C34" s="38"/>
      <c r="D34" s="39">
        <f>vwTable395345678[[#This Row],[Наименование]]</f>
        <v>0</v>
      </c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1"/>
      <c r="W34" s="42">
        <f>vwTable395345678[[#This Row],[Количество]]</f>
        <v>0</v>
      </c>
      <c r="X34" s="43"/>
      <c r="Y34" s="44"/>
      <c r="Z34" s="34" t="s">
        <v>9</v>
      </c>
      <c r="AA34" s="35"/>
      <c r="AB34" s="45"/>
      <c r="AC34" s="34">
        <f>vwTable395345678[[#This Row],[Цена]]*vwTable395345678[[#This Row],[Коэффициент]]</f>
        <v>0</v>
      </c>
      <c r="AD34" s="35"/>
      <c r="AE34" s="45"/>
      <c r="AF34" s="34">
        <f>ROUND(vwTable395345678[[#This Row],[Цена]]*vwTable395345678[[#This Row],[Коэффициент]],2)*vwTable395345678[[#This Row],[Количество]]</f>
        <v>0</v>
      </c>
      <c r="AG34" s="35"/>
      <c r="AH34" s="35"/>
      <c r="AI34" s="35"/>
      <c r="AJ34" s="35"/>
      <c r="AK34" s="36"/>
      <c r="AL34" s="11"/>
      <c r="AN34" s="22"/>
      <c r="AP34" s="28">
        <v>8</v>
      </c>
      <c r="AQ34" s="29"/>
      <c r="AR34" s="28"/>
      <c r="AS34" s="30"/>
      <c r="AT34" s="28">
        <v>1</v>
      </c>
      <c r="AU34" s="28"/>
    </row>
    <row r="35" spans="1:47" ht="12" hidden="1" thickBot="1" x14ac:dyDescent="0.25">
      <c r="A35" s="3"/>
      <c r="B35" s="37">
        <f>vwTable395345678[[#This Row],[№]]</f>
        <v>9</v>
      </c>
      <c r="C35" s="38"/>
      <c r="D35" s="39">
        <f>vwTable395345678[[#This Row],[Наименование]]</f>
        <v>0</v>
      </c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1"/>
      <c r="W35" s="42">
        <f>vwTable395345678[[#This Row],[Количество]]</f>
        <v>0</v>
      </c>
      <c r="X35" s="43"/>
      <c r="Y35" s="44"/>
      <c r="Z35" s="34" t="s">
        <v>9</v>
      </c>
      <c r="AA35" s="35"/>
      <c r="AB35" s="45"/>
      <c r="AC35" s="34">
        <f>vwTable395345678[[#This Row],[Цена]]*vwTable395345678[[#This Row],[Коэффициент]]</f>
        <v>0</v>
      </c>
      <c r="AD35" s="35"/>
      <c r="AE35" s="45"/>
      <c r="AF35" s="34">
        <f>ROUND(vwTable395345678[[#This Row],[Цена]]*vwTable395345678[[#This Row],[Коэффициент]],2)*vwTable395345678[[#This Row],[Количество]]</f>
        <v>0</v>
      </c>
      <c r="AG35" s="35"/>
      <c r="AH35" s="35"/>
      <c r="AI35" s="35"/>
      <c r="AJ35" s="35"/>
      <c r="AK35" s="36"/>
      <c r="AL35" s="11"/>
      <c r="AN35" s="22"/>
      <c r="AP35" s="28">
        <v>9</v>
      </c>
      <c r="AQ35" s="29"/>
      <c r="AR35" s="28"/>
      <c r="AS35" s="30"/>
      <c r="AT35" s="28">
        <v>1</v>
      </c>
      <c r="AU35" s="28"/>
    </row>
    <row r="36" spans="1:47" ht="12" hidden="1" thickBot="1" x14ac:dyDescent="0.25">
      <c r="A36" s="3"/>
      <c r="B36" s="37">
        <f>vwTable395345678[[#This Row],[№]]</f>
        <v>10</v>
      </c>
      <c r="C36" s="38"/>
      <c r="D36" s="39">
        <f>vwTable395345678[[#This Row],[Наименование]]</f>
        <v>0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1"/>
      <c r="W36" s="42">
        <f>vwTable395345678[[#This Row],[Количество]]</f>
        <v>0</v>
      </c>
      <c r="X36" s="43"/>
      <c r="Y36" s="44"/>
      <c r="Z36" s="34" t="s">
        <v>9</v>
      </c>
      <c r="AA36" s="35"/>
      <c r="AB36" s="45"/>
      <c r="AC36" s="34">
        <f>vwTable395345678[[#This Row],[Цена]]*vwTable395345678[[#This Row],[Коэффициент]]</f>
        <v>0</v>
      </c>
      <c r="AD36" s="35"/>
      <c r="AE36" s="45"/>
      <c r="AF36" s="34">
        <f>ROUND(vwTable395345678[[#This Row],[Цена]]*vwTable395345678[[#This Row],[Коэффициент]],2)*vwTable395345678[[#This Row],[Количество]]</f>
        <v>0</v>
      </c>
      <c r="AG36" s="35"/>
      <c r="AH36" s="35"/>
      <c r="AI36" s="35"/>
      <c r="AJ36" s="35"/>
      <c r="AK36" s="36"/>
      <c r="AL36" s="11"/>
      <c r="AN36" s="22"/>
      <c r="AP36" s="28">
        <v>10</v>
      </c>
      <c r="AQ36" s="29"/>
      <c r="AR36" s="28"/>
      <c r="AS36" s="30"/>
      <c r="AT36" s="28">
        <v>1</v>
      </c>
      <c r="AU36" s="28"/>
    </row>
    <row r="37" spans="1:47" ht="12" hidden="1" thickBot="1" x14ac:dyDescent="0.25">
      <c r="A37" s="3"/>
      <c r="B37" s="37">
        <f>vwTable395345678[[#This Row],[№]]</f>
        <v>11</v>
      </c>
      <c r="C37" s="38"/>
      <c r="D37" s="39">
        <f>vwTable395345678[[#This Row],[Наименование]]</f>
        <v>0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1"/>
      <c r="W37" s="42">
        <f>vwTable395345678[[#This Row],[Количество]]</f>
        <v>0</v>
      </c>
      <c r="X37" s="43"/>
      <c r="Y37" s="44"/>
      <c r="Z37" s="34" t="s">
        <v>9</v>
      </c>
      <c r="AA37" s="35"/>
      <c r="AB37" s="45"/>
      <c r="AC37" s="34">
        <f>vwTable395345678[[#This Row],[Цена]]*vwTable395345678[[#This Row],[Коэффициент]]</f>
        <v>0</v>
      </c>
      <c r="AD37" s="35"/>
      <c r="AE37" s="45"/>
      <c r="AF37" s="34">
        <f>ROUND(vwTable395345678[[#This Row],[Цена]]*vwTable395345678[[#This Row],[Коэффициент]],2)*vwTable395345678[[#This Row],[Количество]]</f>
        <v>0</v>
      </c>
      <c r="AG37" s="35"/>
      <c r="AH37" s="35"/>
      <c r="AI37" s="35"/>
      <c r="AJ37" s="35"/>
      <c r="AK37" s="36"/>
      <c r="AL37" s="11"/>
      <c r="AN37" s="22"/>
      <c r="AP37" s="28">
        <v>11</v>
      </c>
      <c r="AQ37" s="29"/>
      <c r="AR37" s="28"/>
      <c r="AS37" s="30"/>
      <c r="AT37" s="28">
        <v>1</v>
      </c>
      <c r="AU37" s="28"/>
    </row>
    <row r="38" spans="1:47" ht="12" hidden="1" thickBot="1" x14ac:dyDescent="0.25">
      <c r="A38" s="3"/>
      <c r="B38" s="37">
        <f>vwTable395345678[[#This Row],[№]]</f>
        <v>12</v>
      </c>
      <c r="C38" s="38"/>
      <c r="D38" s="39">
        <f>vwTable395345678[[#This Row],[Наименование]]</f>
        <v>0</v>
      </c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W38" s="42">
        <f>vwTable395345678[[#This Row],[Количество]]</f>
        <v>0</v>
      </c>
      <c r="X38" s="43"/>
      <c r="Y38" s="44"/>
      <c r="Z38" s="34" t="s">
        <v>9</v>
      </c>
      <c r="AA38" s="35"/>
      <c r="AB38" s="45"/>
      <c r="AC38" s="34">
        <f>vwTable395345678[[#This Row],[Цена]]*vwTable395345678[[#This Row],[Коэффициент]]</f>
        <v>0</v>
      </c>
      <c r="AD38" s="35"/>
      <c r="AE38" s="45"/>
      <c r="AF38" s="34">
        <f>ROUND(vwTable395345678[[#This Row],[Цена]]*vwTable395345678[[#This Row],[Коэффициент]],2)*vwTable395345678[[#This Row],[Количество]]</f>
        <v>0</v>
      </c>
      <c r="AG38" s="35"/>
      <c r="AH38" s="35"/>
      <c r="AI38" s="35"/>
      <c r="AJ38" s="35"/>
      <c r="AK38" s="36"/>
      <c r="AL38" s="11"/>
      <c r="AN38" s="22"/>
      <c r="AP38" s="28">
        <v>12</v>
      </c>
      <c r="AQ38" s="29"/>
      <c r="AR38" s="28"/>
      <c r="AS38" s="30"/>
      <c r="AT38" s="28">
        <v>1</v>
      </c>
      <c r="AU38" s="28"/>
    </row>
    <row r="39" spans="1:47" ht="12" hidden="1" thickBot="1" x14ac:dyDescent="0.25">
      <c r="A39" s="3"/>
      <c r="B39" s="37">
        <f>vwTable395345678[[#This Row],[№]]</f>
        <v>13</v>
      </c>
      <c r="C39" s="38"/>
      <c r="D39" s="39">
        <f>vwTable395345678[[#This Row],[Наименование]]</f>
        <v>0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1"/>
      <c r="W39" s="42">
        <f>vwTable395345678[[#This Row],[Количество]]</f>
        <v>0</v>
      </c>
      <c r="X39" s="43"/>
      <c r="Y39" s="44"/>
      <c r="Z39" s="34" t="s">
        <v>9</v>
      </c>
      <c r="AA39" s="35"/>
      <c r="AB39" s="45"/>
      <c r="AC39" s="34">
        <f>vwTable395345678[[#This Row],[Цена]]*vwTable395345678[[#This Row],[Коэффициент]]</f>
        <v>0</v>
      </c>
      <c r="AD39" s="35"/>
      <c r="AE39" s="45"/>
      <c r="AF39" s="34">
        <f>ROUND(vwTable395345678[[#This Row],[Цена]]*vwTable395345678[[#This Row],[Коэффициент]],2)*vwTable395345678[[#This Row],[Количество]]</f>
        <v>0</v>
      </c>
      <c r="AG39" s="35"/>
      <c r="AH39" s="35"/>
      <c r="AI39" s="35"/>
      <c r="AJ39" s="35"/>
      <c r="AK39" s="36"/>
      <c r="AL39" s="11"/>
      <c r="AN39" s="22"/>
      <c r="AP39" s="28">
        <v>13</v>
      </c>
      <c r="AQ39" s="29"/>
      <c r="AR39" s="28"/>
      <c r="AS39" s="30"/>
      <c r="AT39" s="28">
        <v>1</v>
      </c>
      <c r="AU39" s="28"/>
    </row>
    <row r="40" spans="1:47" ht="12" hidden="1" thickBot="1" x14ac:dyDescent="0.25">
      <c r="A40" s="3"/>
      <c r="B40" s="37">
        <f>vwTable395345678[[#This Row],[№]]</f>
        <v>14</v>
      </c>
      <c r="C40" s="38"/>
      <c r="D40" s="39">
        <f>vwTable395345678[[#This Row],[Наименование]]</f>
        <v>0</v>
      </c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1"/>
      <c r="W40" s="42">
        <f>vwTable395345678[[#This Row],[Количество]]</f>
        <v>0</v>
      </c>
      <c r="X40" s="43"/>
      <c r="Y40" s="44"/>
      <c r="Z40" s="34" t="s">
        <v>9</v>
      </c>
      <c r="AA40" s="35"/>
      <c r="AB40" s="45"/>
      <c r="AC40" s="34">
        <f>vwTable395345678[[#This Row],[Цена]]*vwTable395345678[[#This Row],[Коэффициент]]</f>
        <v>0</v>
      </c>
      <c r="AD40" s="35"/>
      <c r="AE40" s="45"/>
      <c r="AF40" s="34">
        <f>ROUND(vwTable395345678[[#This Row],[Цена]]*vwTable395345678[[#This Row],[Коэффициент]],2)*vwTable395345678[[#This Row],[Количество]]</f>
        <v>0</v>
      </c>
      <c r="AG40" s="35"/>
      <c r="AH40" s="35"/>
      <c r="AI40" s="35"/>
      <c r="AJ40" s="35"/>
      <c r="AK40" s="36"/>
      <c r="AL40" s="11"/>
      <c r="AN40" s="22"/>
      <c r="AP40" s="28">
        <v>14</v>
      </c>
      <c r="AQ40" s="29"/>
      <c r="AR40" s="28"/>
      <c r="AS40" s="30"/>
      <c r="AT40" s="28">
        <v>1</v>
      </c>
      <c r="AU40" s="28"/>
    </row>
    <row r="41" spans="1:47" ht="12" hidden="1" thickBot="1" x14ac:dyDescent="0.25">
      <c r="A41" s="3"/>
      <c r="B41" s="37">
        <f>vwTable395345678[[#This Row],[№]]</f>
        <v>15</v>
      </c>
      <c r="C41" s="38"/>
      <c r="D41" s="39">
        <f>vwTable395345678[[#This Row],[Наименование]]</f>
        <v>0</v>
      </c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1"/>
      <c r="W41" s="42">
        <f>vwTable395345678[[#This Row],[Количество]]</f>
        <v>0</v>
      </c>
      <c r="X41" s="43"/>
      <c r="Y41" s="44"/>
      <c r="Z41" s="34" t="s">
        <v>9</v>
      </c>
      <c r="AA41" s="35"/>
      <c r="AB41" s="45"/>
      <c r="AC41" s="34">
        <f>vwTable395345678[[#This Row],[Цена]]*vwTable395345678[[#This Row],[Коэффициент]]</f>
        <v>0</v>
      </c>
      <c r="AD41" s="35"/>
      <c r="AE41" s="45"/>
      <c r="AF41" s="34">
        <f>ROUND(vwTable395345678[[#This Row],[Цена]]*vwTable395345678[[#This Row],[Коэффициент]],2)*vwTable395345678[[#This Row],[Количество]]</f>
        <v>0</v>
      </c>
      <c r="AG41" s="35"/>
      <c r="AH41" s="35"/>
      <c r="AI41" s="35"/>
      <c r="AJ41" s="35"/>
      <c r="AK41" s="36"/>
      <c r="AL41" s="11"/>
      <c r="AN41" s="22"/>
      <c r="AP41" s="28">
        <v>15</v>
      </c>
      <c r="AQ41" s="29"/>
      <c r="AR41" s="28"/>
      <c r="AS41" s="30"/>
      <c r="AT41" s="28">
        <v>1</v>
      </c>
      <c r="AU41" s="28"/>
    </row>
    <row r="42" spans="1:47" ht="12" hidden="1" thickBot="1" x14ac:dyDescent="0.25">
      <c r="A42" s="3"/>
      <c r="B42" s="37">
        <f>vwTable395345678[[#This Row],[№]]</f>
        <v>16</v>
      </c>
      <c r="C42" s="38"/>
      <c r="D42" s="39">
        <f>vwTable395345678[[#This Row],[Наименование]]</f>
        <v>0</v>
      </c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1"/>
      <c r="W42" s="42">
        <f>vwTable395345678[[#This Row],[Количество]]</f>
        <v>0</v>
      </c>
      <c r="X42" s="43"/>
      <c r="Y42" s="44"/>
      <c r="Z42" s="34" t="s">
        <v>9</v>
      </c>
      <c r="AA42" s="35"/>
      <c r="AB42" s="45"/>
      <c r="AC42" s="34">
        <f>vwTable395345678[[#This Row],[Цена]]*vwTable395345678[[#This Row],[Коэффициент]]</f>
        <v>0</v>
      </c>
      <c r="AD42" s="35"/>
      <c r="AE42" s="45"/>
      <c r="AF42" s="34">
        <f>ROUND(vwTable395345678[[#This Row],[Цена]]*vwTable395345678[[#This Row],[Коэффициент]],2)*vwTable395345678[[#This Row],[Количество]]</f>
        <v>0</v>
      </c>
      <c r="AG42" s="35"/>
      <c r="AH42" s="35"/>
      <c r="AI42" s="35"/>
      <c r="AJ42" s="35"/>
      <c r="AK42" s="36"/>
      <c r="AL42" s="11"/>
      <c r="AN42" s="22"/>
      <c r="AP42" s="28">
        <v>16</v>
      </c>
      <c r="AQ42" s="29"/>
      <c r="AR42" s="28"/>
      <c r="AS42" s="30"/>
      <c r="AT42" s="28">
        <v>1</v>
      </c>
      <c r="AU42" s="28"/>
    </row>
    <row r="43" spans="1:47" ht="12" hidden="1" thickBot="1" x14ac:dyDescent="0.25">
      <c r="A43" s="3"/>
      <c r="B43" s="37">
        <f>vwTable395345678[[#This Row],[№]]</f>
        <v>17</v>
      </c>
      <c r="C43" s="38"/>
      <c r="D43" s="39">
        <f>vwTable395345678[[#This Row],[Наименование]]</f>
        <v>0</v>
      </c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1"/>
      <c r="W43" s="42">
        <f>vwTable395345678[[#This Row],[Количество]]</f>
        <v>0</v>
      </c>
      <c r="X43" s="43"/>
      <c r="Y43" s="44"/>
      <c r="Z43" s="34" t="s">
        <v>9</v>
      </c>
      <c r="AA43" s="35"/>
      <c r="AB43" s="45"/>
      <c r="AC43" s="34">
        <f>vwTable395345678[[#This Row],[Цена]]*vwTable395345678[[#This Row],[Коэффициент]]</f>
        <v>0</v>
      </c>
      <c r="AD43" s="35"/>
      <c r="AE43" s="45"/>
      <c r="AF43" s="34">
        <f>ROUND(vwTable395345678[[#This Row],[Цена]]*vwTable395345678[[#This Row],[Коэффициент]],2)*vwTable395345678[[#This Row],[Количество]]</f>
        <v>0</v>
      </c>
      <c r="AG43" s="35"/>
      <c r="AH43" s="35"/>
      <c r="AI43" s="35"/>
      <c r="AJ43" s="35"/>
      <c r="AK43" s="36"/>
      <c r="AL43" s="11"/>
      <c r="AN43" s="22"/>
      <c r="AP43" s="28">
        <v>17</v>
      </c>
      <c r="AQ43" s="29"/>
      <c r="AR43" s="28"/>
      <c r="AS43" s="30"/>
      <c r="AT43" s="28">
        <v>1</v>
      </c>
      <c r="AU43" s="28"/>
    </row>
    <row r="44" spans="1:47" ht="12" hidden="1" thickBot="1" x14ac:dyDescent="0.25">
      <c r="A44" s="3"/>
      <c r="B44" s="37">
        <f>vwTable395345678[[#This Row],[№]]</f>
        <v>18</v>
      </c>
      <c r="C44" s="38"/>
      <c r="D44" s="39">
        <f>vwTable395345678[[#This Row],[Наименование]]</f>
        <v>0</v>
      </c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1"/>
      <c r="W44" s="42">
        <f>vwTable395345678[[#This Row],[Количество]]</f>
        <v>0</v>
      </c>
      <c r="X44" s="43"/>
      <c r="Y44" s="44"/>
      <c r="Z44" s="34" t="s">
        <v>9</v>
      </c>
      <c r="AA44" s="35"/>
      <c r="AB44" s="45"/>
      <c r="AC44" s="34">
        <f>vwTable395345678[[#This Row],[Цена]]*vwTable395345678[[#This Row],[Коэффициент]]</f>
        <v>0</v>
      </c>
      <c r="AD44" s="35"/>
      <c r="AE44" s="45"/>
      <c r="AF44" s="34">
        <f>ROUND(vwTable395345678[[#This Row],[Цена]]*vwTable395345678[[#This Row],[Коэффициент]],2)*vwTable395345678[[#This Row],[Количество]]</f>
        <v>0</v>
      </c>
      <c r="AG44" s="35"/>
      <c r="AH44" s="35"/>
      <c r="AI44" s="35"/>
      <c r="AJ44" s="35"/>
      <c r="AK44" s="36"/>
      <c r="AL44" s="11"/>
      <c r="AN44" s="22"/>
      <c r="AP44" s="28">
        <v>18</v>
      </c>
      <c r="AQ44" s="29"/>
      <c r="AR44" s="28"/>
      <c r="AS44" s="30"/>
      <c r="AT44" s="28">
        <v>1</v>
      </c>
      <c r="AU44" s="28"/>
    </row>
    <row r="45" spans="1:47" ht="12" hidden="1" thickBot="1" x14ac:dyDescent="0.25">
      <c r="A45" s="3"/>
      <c r="B45" s="37">
        <f>vwTable395345678[[#This Row],[№]]</f>
        <v>19</v>
      </c>
      <c r="C45" s="38"/>
      <c r="D45" s="39">
        <f>vwTable395345678[[#This Row],[Наименование]]</f>
        <v>0</v>
      </c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1"/>
      <c r="W45" s="42">
        <f>vwTable395345678[[#This Row],[Количество]]</f>
        <v>0</v>
      </c>
      <c r="X45" s="43"/>
      <c r="Y45" s="44"/>
      <c r="Z45" s="34" t="s">
        <v>9</v>
      </c>
      <c r="AA45" s="35"/>
      <c r="AB45" s="45"/>
      <c r="AC45" s="34">
        <f>vwTable395345678[[#This Row],[Цена]]*vwTable395345678[[#This Row],[Коэффициент]]</f>
        <v>0</v>
      </c>
      <c r="AD45" s="35"/>
      <c r="AE45" s="45"/>
      <c r="AF45" s="34">
        <f>ROUND(vwTable395345678[[#This Row],[Цена]]*vwTable395345678[[#This Row],[Коэффициент]],2)*vwTable395345678[[#This Row],[Количество]]</f>
        <v>0</v>
      </c>
      <c r="AG45" s="35"/>
      <c r="AH45" s="35"/>
      <c r="AI45" s="35"/>
      <c r="AJ45" s="35"/>
      <c r="AK45" s="36"/>
      <c r="AL45" s="11"/>
      <c r="AN45" s="22"/>
      <c r="AP45" s="28">
        <v>19</v>
      </c>
      <c r="AQ45" s="29"/>
      <c r="AR45" s="28"/>
      <c r="AS45" s="30"/>
      <c r="AT45" s="28">
        <v>1</v>
      </c>
      <c r="AU45" s="28"/>
    </row>
    <row r="46" spans="1:47" ht="12" hidden="1" thickBot="1" x14ac:dyDescent="0.25">
      <c r="A46" s="3"/>
      <c r="B46" s="37">
        <f>vwTable395345678[[#This Row],[№]]</f>
        <v>20</v>
      </c>
      <c r="C46" s="38"/>
      <c r="D46" s="39">
        <f>vwTable395345678[[#This Row],[Наименование]]</f>
        <v>0</v>
      </c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1"/>
      <c r="W46" s="42">
        <f>vwTable395345678[[#This Row],[Количество]]</f>
        <v>0</v>
      </c>
      <c r="X46" s="43"/>
      <c r="Y46" s="44"/>
      <c r="Z46" s="34" t="s">
        <v>9</v>
      </c>
      <c r="AA46" s="35"/>
      <c r="AB46" s="45"/>
      <c r="AC46" s="34">
        <f>vwTable395345678[[#This Row],[Цена]]*vwTable395345678[[#This Row],[Коэффициент]]</f>
        <v>0</v>
      </c>
      <c r="AD46" s="35"/>
      <c r="AE46" s="45"/>
      <c r="AF46" s="34">
        <f>ROUND(vwTable395345678[[#This Row],[Цена]]*vwTable395345678[[#This Row],[Коэффициент]],2)*vwTable395345678[[#This Row],[Количество]]</f>
        <v>0</v>
      </c>
      <c r="AG46" s="35"/>
      <c r="AH46" s="35"/>
      <c r="AI46" s="35"/>
      <c r="AJ46" s="35"/>
      <c r="AK46" s="36"/>
      <c r="AL46" s="11"/>
      <c r="AN46" s="22"/>
      <c r="AP46" s="28">
        <v>20</v>
      </c>
      <c r="AQ46" s="29"/>
      <c r="AR46" s="28"/>
      <c r="AS46" s="30"/>
      <c r="AT46" s="28">
        <v>1</v>
      </c>
      <c r="AU46" s="28"/>
    </row>
    <row r="47" spans="1:47" ht="12" hidden="1" thickBot="1" x14ac:dyDescent="0.25">
      <c r="A47" s="3"/>
      <c r="B47" s="37">
        <f>vwTable395345678[[#This Row],[№]]</f>
        <v>21</v>
      </c>
      <c r="C47" s="38"/>
      <c r="D47" s="39">
        <f>vwTable395345678[[#This Row],[Наименование]]</f>
        <v>0</v>
      </c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1"/>
      <c r="W47" s="42">
        <f>vwTable395345678[[#This Row],[Количество]]</f>
        <v>0</v>
      </c>
      <c r="X47" s="43"/>
      <c r="Y47" s="44"/>
      <c r="Z47" s="34" t="s">
        <v>9</v>
      </c>
      <c r="AA47" s="35"/>
      <c r="AB47" s="45"/>
      <c r="AC47" s="34">
        <f>vwTable395345678[[#This Row],[Цена]]*vwTable395345678[[#This Row],[Коэффициент]]</f>
        <v>0</v>
      </c>
      <c r="AD47" s="35"/>
      <c r="AE47" s="45"/>
      <c r="AF47" s="34">
        <f>ROUND(vwTable395345678[[#This Row],[Цена]]*vwTable395345678[[#This Row],[Коэффициент]],2)*vwTable395345678[[#This Row],[Количество]]</f>
        <v>0</v>
      </c>
      <c r="AG47" s="35"/>
      <c r="AH47" s="35"/>
      <c r="AI47" s="35"/>
      <c r="AJ47" s="35"/>
      <c r="AK47" s="36"/>
      <c r="AL47" s="11"/>
      <c r="AN47" s="22"/>
      <c r="AP47" s="28">
        <v>21</v>
      </c>
      <c r="AQ47" s="29"/>
      <c r="AR47" s="28"/>
      <c r="AS47" s="30"/>
      <c r="AT47" s="28">
        <v>1</v>
      </c>
      <c r="AU47" s="28"/>
    </row>
    <row r="48" spans="1:47" ht="12" hidden="1" thickBot="1" x14ac:dyDescent="0.25">
      <c r="A48" s="3"/>
      <c r="B48" s="37">
        <f>vwTable395345678[[#This Row],[№]]</f>
        <v>22</v>
      </c>
      <c r="C48" s="38"/>
      <c r="D48" s="39">
        <f>vwTable395345678[[#This Row],[Наименование]]</f>
        <v>0</v>
      </c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1"/>
      <c r="W48" s="42">
        <f>vwTable395345678[[#This Row],[Количество]]</f>
        <v>0</v>
      </c>
      <c r="X48" s="43"/>
      <c r="Y48" s="44"/>
      <c r="Z48" s="34" t="s">
        <v>9</v>
      </c>
      <c r="AA48" s="35"/>
      <c r="AB48" s="45"/>
      <c r="AC48" s="34">
        <f>vwTable395345678[[#This Row],[Цена]]*vwTable395345678[[#This Row],[Коэффициент]]</f>
        <v>0</v>
      </c>
      <c r="AD48" s="35"/>
      <c r="AE48" s="45"/>
      <c r="AF48" s="34">
        <f>ROUND(vwTable395345678[[#This Row],[Цена]]*vwTable395345678[[#This Row],[Коэффициент]],2)*vwTable395345678[[#This Row],[Количество]]</f>
        <v>0</v>
      </c>
      <c r="AG48" s="35"/>
      <c r="AH48" s="35"/>
      <c r="AI48" s="35"/>
      <c r="AJ48" s="35"/>
      <c r="AK48" s="36"/>
      <c r="AL48" s="11"/>
      <c r="AN48" s="22"/>
      <c r="AP48" s="28">
        <v>22</v>
      </c>
      <c r="AQ48" s="29"/>
      <c r="AR48" s="28"/>
      <c r="AS48" s="30"/>
      <c r="AT48" s="28">
        <v>1</v>
      </c>
      <c r="AU48" s="28"/>
    </row>
    <row r="49" spans="1:47" ht="12" hidden="1" thickBot="1" x14ac:dyDescent="0.25">
      <c r="A49" s="3"/>
      <c r="B49" s="37">
        <f>vwTable395345678[[#This Row],[№]]</f>
        <v>23</v>
      </c>
      <c r="C49" s="38"/>
      <c r="D49" s="39">
        <f>vwTable395345678[[#This Row],[Наименование]]</f>
        <v>0</v>
      </c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1"/>
      <c r="W49" s="42">
        <f>vwTable395345678[[#This Row],[Количество]]</f>
        <v>0</v>
      </c>
      <c r="X49" s="43"/>
      <c r="Y49" s="44"/>
      <c r="Z49" s="34" t="s">
        <v>9</v>
      </c>
      <c r="AA49" s="35"/>
      <c r="AB49" s="45"/>
      <c r="AC49" s="34">
        <f>vwTable395345678[[#This Row],[Цена]]*vwTable395345678[[#This Row],[Коэффициент]]</f>
        <v>0</v>
      </c>
      <c r="AD49" s="35"/>
      <c r="AE49" s="45"/>
      <c r="AF49" s="34">
        <f>ROUND(vwTable395345678[[#This Row],[Цена]]*vwTable395345678[[#This Row],[Коэффициент]],2)*vwTable395345678[[#This Row],[Количество]]</f>
        <v>0</v>
      </c>
      <c r="AG49" s="35"/>
      <c r="AH49" s="35"/>
      <c r="AI49" s="35"/>
      <c r="AJ49" s="35"/>
      <c r="AK49" s="36"/>
      <c r="AL49" s="11"/>
      <c r="AN49" s="22"/>
      <c r="AP49" s="28">
        <v>23</v>
      </c>
      <c r="AQ49" s="29"/>
      <c r="AR49" s="28"/>
      <c r="AS49" s="30"/>
      <c r="AT49" s="28">
        <v>1</v>
      </c>
      <c r="AU49" s="28"/>
    </row>
    <row r="50" spans="1:47" ht="12" hidden="1" thickBot="1" x14ac:dyDescent="0.25">
      <c r="A50" s="3"/>
      <c r="B50" s="37">
        <f>vwTable395345678[[#This Row],[№]]</f>
        <v>24</v>
      </c>
      <c r="C50" s="38"/>
      <c r="D50" s="39">
        <f>vwTable395345678[[#This Row],[Наименование]]</f>
        <v>0</v>
      </c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1"/>
      <c r="W50" s="42">
        <f>vwTable395345678[[#This Row],[Количество]]</f>
        <v>0</v>
      </c>
      <c r="X50" s="43"/>
      <c r="Y50" s="44"/>
      <c r="Z50" s="34" t="s">
        <v>9</v>
      </c>
      <c r="AA50" s="35"/>
      <c r="AB50" s="45"/>
      <c r="AC50" s="34">
        <f>vwTable395345678[[#This Row],[Цена]]*vwTable395345678[[#This Row],[Коэффициент]]</f>
        <v>0</v>
      </c>
      <c r="AD50" s="35"/>
      <c r="AE50" s="45"/>
      <c r="AF50" s="34">
        <f>ROUND(vwTable395345678[[#This Row],[Цена]]*vwTable395345678[[#This Row],[Коэффициент]],2)*vwTable395345678[[#This Row],[Количество]]</f>
        <v>0</v>
      </c>
      <c r="AG50" s="35"/>
      <c r="AH50" s="35"/>
      <c r="AI50" s="35"/>
      <c r="AJ50" s="35"/>
      <c r="AK50" s="36"/>
      <c r="AL50" s="11"/>
      <c r="AN50" s="22"/>
      <c r="AP50" s="28">
        <v>24</v>
      </c>
      <c r="AQ50" s="29"/>
      <c r="AR50" s="28"/>
      <c r="AS50" s="30"/>
      <c r="AT50" s="28">
        <v>1</v>
      </c>
      <c r="AU50" s="28"/>
    </row>
    <row r="51" spans="1:47" ht="12" hidden="1" thickBot="1" x14ac:dyDescent="0.25">
      <c r="A51" s="3"/>
      <c r="B51" s="37">
        <f>vwTable395345678[[#This Row],[№]]</f>
        <v>25</v>
      </c>
      <c r="C51" s="38"/>
      <c r="D51" s="39">
        <f>vwTable395345678[[#This Row],[Наименование]]</f>
        <v>0</v>
      </c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1"/>
      <c r="W51" s="42">
        <f>vwTable395345678[[#This Row],[Количество]]</f>
        <v>0</v>
      </c>
      <c r="X51" s="43"/>
      <c r="Y51" s="44"/>
      <c r="Z51" s="34" t="s">
        <v>9</v>
      </c>
      <c r="AA51" s="35"/>
      <c r="AB51" s="45"/>
      <c r="AC51" s="34">
        <f>vwTable395345678[[#This Row],[Цена]]*vwTable395345678[[#This Row],[Коэффициент]]</f>
        <v>0</v>
      </c>
      <c r="AD51" s="35"/>
      <c r="AE51" s="45"/>
      <c r="AF51" s="34">
        <f>ROUND(vwTable395345678[[#This Row],[Цена]]*vwTable395345678[[#This Row],[Коэффициент]],2)*vwTable395345678[[#This Row],[Количество]]</f>
        <v>0</v>
      </c>
      <c r="AG51" s="35"/>
      <c r="AH51" s="35"/>
      <c r="AI51" s="35"/>
      <c r="AJ51" s="35"/>
      <c r="AK51" s="36"/>
      <c r="AL51" s="11"/>
      <c r="AN51" s="22"/>
      <c r="AP51" s="28">
        <v>25</v>
      </c>
      <c r="AQ51" s="29"/>
      <c r="AR51" s="28"/>
      <c r="AS51" s="30"/>
      <c r="AT51" s="28">
        <v>1</v>
      </c>
      <c r="AU51" s="28"/>
    </row>
    <row r="52" spans="1:47" ht="12" hidden="1" thickBot="1" x14ac:dyDescent="0.25">
      <c r="A52" s="3"/>
      <c r="B52" s="37">
        <f>vwTable395345678[[#This Row],[№]]</f>
        <v>26</v>
      </c>
      <c r="C52" s="38"/>
      <c r="D52" s="39">
        <f>vwTable395345678[[#This Row],[Наименование]]</f>
        <v>0</v>
      </c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1"/>
      <c r="W52" s="42">
        <f>vwTable395345678[[#This Row],[Количество]]</f>
        <v>0</v>
      </c>
      <c r="X52" s="43"/>
      <c r="Y52" s="44"/>
      <c r="Z52" s="34" t="s">
        <v>9</v>
      </c>
      <c r="AA52" s="35"/>
      <c r="AB52" s="45"/>
      <c r="AC52" s="34">
        <f>vwTable395345678[[#This Row],[Цена]]*vwTable395345678[[#This Row],[Коэффициент]]</f>
        <v>0</v>
      </c>
      <c r="AD52" s="35"/>
      <c r="AE52" s="45"/>
      <c r="AF52" s="34">
        <f>ROUND(vwTable395345678[[#This Row],[Цена]]*vwTable395345678[[#This Row],[Коэффициент]],2)*vwTable395345678[[#This Row],[Количество]]</f>
        <v>0</v>
      </c>
      <c r="AG52" s="35"/>
      <c r="AH52" s="35"/>
      <c r="AI52" s="35"/>
      <c r="AJ52" s="35"/>
      <c r="AK52" s="36"/>
      <c r="AL52" s="11"/>
      <c r="AN52" s="22"/>
      <c r="AP52" s="28">
        <v>26</v>
      </c>
      <c r="AQ52" s="29"/>
      <c r="AR52" s="28"/>
      <c r="AS52" s="30"/>
      <c r="AT52" s="28">
        <v>1</v>
      </c>
      <c r="AU52" s="28"/>
    </row>
    <row r="53" spans="1:47" ht="12" hidden="1" thickBot="1" x14ac:dyDescent="0.25">
      <c r="A53" s="3"/>
      <c r="B53" s="37">
        <f>vwTable395345678[[#This Row],[№]]</f>
        <v>27</v>
      </c>
      <c r="C53" s="38"/>
      <c r="D53" s="39">
        <f>vwTable395345678[[#This Row],[Наименование]]</f>
        <v>0</v>
      </c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1"/>
      <c r="W53" s="42">
        <f>vwTable395345678[[#This Row],[Количество]]</f>
        <v>0</v>
      </c>
      <c r="X53" s="43"/>
      <c r="Y53" s="44"/>
      <c r="Z53" s="34" t="s">
        <v>9</v>
      </c>
      <c r="AA53" s="35"/>
      <c r="AB53" s="45"/>
      <c r="AC53" s="34">
        <f>vwTable395345678[[#This Row],[Цена]]*vwTable395345678[[#This Row],[Коэффициент]]</f>
        <v>0</v>
      </c>
      <c r="AD53" s="35"/>
      <c r="AE53" s="45"/>
      <c r="AF53" s="34">
        <f>ROUND(vwTable395345678[[#This Row],[Цена]]*vwTable395345678[[#This Row],[Коэффициент]],2)*vwTable395345678[[#This Row],[Количество]]</f>
        <v>0</v>
      </c>
      <c r="AG53" s="35"/>
      <c r="AH53" s="35"/>
      <c r="AI53" s="35"/>
      <c r="AJ53" s="35"/>
      <c r="AK53" s="36"/>
      <c r="AL53" s="11"/>
      <c r="AN53" s="22"/>
      <c r="AP53" s="28">
        <v>27</v>
      </c>
      <c r="AQ53" s="29"/>
      <c r="AR53" s="28"/>
      <c r="AS53" s="30"/>
      <c r="AT53" s="28">
        <v>1</v>
      </c>
      <c r="AU53" s="28"/>
    </row>
    <row r="54" spans="1:47" ht="12" hidden="1" thickBot="1" x14ac:dyDescent="0.25">
      <c r="A54" s="3"/>
      <c r="B54" s="37">
        <f>vwTable395345678[[#This Row],[№]]</f>
        <v>28</v>
      </c>
      <c r="C54" s="38"/>
      <c r="D54" s="39">
        <f>vwTable395345678[[#This Row],[Наименование]]</f>
        <v>0</v>
      </c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1"/>
      <c r="W54" s="42">
        <f>vwTable395345678[[#This Row],[Количество]]</f>
        <v>0</v>
      </c>
      <c r="X54" s="43"/>
      <c r="Y54" s="44"/>
      <c r="Z54" s="34" t="s">
        <v>9</v>
      </c>
      <c r="AA54" s="35"/>
      <c r="AB54" s="45"/>
      <c r="AC54" s="34">
        <f>vwTable395345678[[#This Row],[Цена]]*vwTable395345678[[#This Row],[Коэффициент]]</f>
        <v>0</v>
      </c>
      <c r="AD54" s="35"/>
      <c r="AE54" s="45"/>
      <c r="AF54" s="34">
        <f>ROUND(vwTable395345678[[#This Row],[Цена]]*vwTable395345678[[#This Row],[Коэффициент]],2)*vwTable395345678[[#This Row],[Количество]]</f>
        <v>0</v>
      </c>
      <c r="AG54" s="35"/>
      <c r="AH54" s="35"/>
      <c r="AI54" s="35"/>
      <c r="AJ54" s="35"/>
      <c r="AK54" s="36"/>
      <c r="AL54" s="11"/>
      <c r="AN54" s="22"/>
      <c r="AP54" s="28">
        <v>28</v>
      </c>
      <c r="AQ54" s="29"/>
      <c r="AR54" s="28"/>
      <c r="AS54" s="30"/>
      <c r="AT54" s="28">
        <v>1</v>
      </c>
      <c r="AU54" s="28"/>
    </row>
    <row r="55" spans="1:47" ht="12" hidden="1" thickBot="1" x14ac:dyDescent="0.25">
      <c r="A55" s="3"/>
      <c r="B55" s="37">
        <f>vwTable395345678[[#This Row],[№]]</f>
        <v>29</v>
      </c>
      <c r="C55" s="38"/>
      <c r="D55" s="39">
        <f>vwTable395345678[[#This Row],[Наименование]]</f>
        <v>0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1"/>
      <c r="W55" s="42">
        <f>vwTable395345678[[#This Row],[Количество]]</f>
        <v>0</v>
      </c>
      <c r="X55" s="43"/>
      <c r="Y55" s="44"/>
      <c r="Z55" s="34" t="s">
        <v>9</v>
      </c>
      <c r="AA55" s="35"/>
      <c r="AB55" s="45"/>
      <c r="AC55" s="34">
        <f>vwTable395345678[[#This Row],[Цена]]*vwTable395345678[[#This Row],[Коэффициент]]</f>
        <v>0</v>
      </c>
      <c r="AD55" s="35"/>
      <c r="AE55" s="45"/>
      <c r="AF55" s="34">
        <f>ROUND(vwTable395345678[[#This Row],[Цена]]*vwTable395345678[[#This Row],[Коэффициент]],2)*vwTable395345678[[#This Row],[Количество]]</f>
        <v>0</v>
      </c>
      <c r="AG55" s="35"/>
      <c r="AH55" s="35"/>
      <c r="AI55" s="35"/>
      <c r="AJ55" s="35"/>
      <c r="AK55" s="36"/>
      <c r="AL55" s="11"/>
      <c r="AN55" s="22"/>
      <c r="AP55" s="28">
        <v>29</v>
      </c>
      <c r="AQ55" s="29"/>
      <c r="AR55" s="28"/>
      <c r="AS55" s="30"/>
      <c r="AT55" s="28">
        <v>1</v>
      </c>
      <c r="AU55" s="28"/>
    </row>
    <row r="56" spans="1:47" ht="12" hidden="1" thickBot="1" x14ac:dyDescent="0.25">
      <c r="A56" s="3"/>
      <c r="B56" s="37">
        <f>vwTable395345678[[#This Row],[№]]</f>
        <v>30</v>
      </c>
      <c r="C56" s="38"/>
      <c r="D56" s="39">
        <f>vwTable395345678[[#This Row],[Наименование]]</f>
        <v>0</v>
      </c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1"/>
      <c r="W56" s="42">
        <f>vwTable395345678[[#This Row],[Количество]]</f>
        <v>0</v>
      </c>
      <c r="X56" s="43"/>
      <c r="Y56" s="44"/>
      <c r="Z56" s="34" t="s">
        <v>9</v>
      </c>
      <c r="AA56" s="35"/>
      <c r="AB56" s="45"/>
      <c r="AC56" s="34">
        <f>vwTable395345678[[#This Row],[Цена]]*vwTable395345678[[#This Row],[Коэффициент]]</f>
        <v>0</v>
      </c>
      <c r="AD56" s="35"/>
      <c r="AE56" s="45"/>
      <c r="AF56" s="34">
        <f>ROUND(vwTable395345678[[#This Row],[Цена]]*vwTable395345678[[#This Row],[Коэффициент]],2)*vwTable395345678[[#This Row],[Количество]]</f>
        <v>0</v>
      </c>
      <c r="AG56" s="35"/>
      <c r="AH56" s="35"/>
      <c r="AI56" s="35"/>
      <c r="AJ56" s="35"/>
      <c r="AK56" s="36"/>
      <c r="AL56" s="11"/>
      <c r="AN56" s="22"/>
      <c r="AP56" s="28">
        <v>30</v>
      </c>
      <c r="AQ56" s="29"/>
      <c r="AR56" s="28"/>
      <c r="AS56" s="30"/>
      <c r="AT56" s="28">
        <v>1</v>
      </c>
      <c r="AU56" s="28"/>
    </row>
    <row r="57" spans="1:47" ht="12" hidden="1" thickBot="1" x14ac:dyDescent="0.25">
      <c r="A57" s="3"/>
      <c r="B57" s="50">
        <f>vwTable395345678[[#This Row],[№]]</f>
        <v>31</v>
      </c>
      <c r="C57" s="51"/>
      <c r="D57" s="52">
        <f>vwTable395345678[[#This Row],[Наименование]]</f>
        <v>0</v>
      </c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4"/>
      <c r="W57" s="55">
        <f>vwTable395345678[[#This Row],[Количество]]</f>
        <v>0</v>
      </c>
      <c r="X57" s="56"/>
      <c r="Y57" s="57"/>
      <c r="Z57" s="58" t="s">
        <v>9</v>
      </c>
      <c r="AA57" s="59"/>
      <c r="AB57" s="60"/>
      <c r="AC57" s="58">
        <f>vwTable395345678[[#This Row],[Цена]]*vwTable395345678[[#This Row],[Коэффициент]]</f>
        <v>0</v>
      </c>
      <c r="AD57" s="59"/>
      <c r="AE57" s="60"/>
      <c r="AF57" s="58">
        <f>ROUND(vwTable395345678[[#This Row],[Цена]]*vwTable395345678[[#This Row],[Коэффициент]],2)*vwTable395345678[[#This Row],[Количество]]</f>
        <v>0</v>
      </c>
      <c r="AG57" s="59"/>
      <c r="AH57" s="59"/>
      <c r="AI57" s="59"/>
      <c r="AJ57" s="59"/>
      <c r="AK57" s="61"/>
      <c r="AL57" s="11"/>
      <c r="AN57" s="22"/>
      <c r="AP57" s="28">
        <v>31</v>
      </c>
      <c r="AQ57" s="29"/>
      <c r="AR57" s="28"/>
      <c r="AS57" s="30"/>
      <c r="AT57" s="28">
        <v>1</v>
      </c>
      <c r="AU57" s="28"/>
    </row>
    <row r="58" spans="1:47" s="2" customFormat="1" ht="12" customHeight="1" x14ac:dyDescent="0.2">
      <c r="A58" s="2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0"/>
      <c r="AM58" s="22"/>
      <c r="AN58" s="22"/>
      <c r="AO58" s="22"/>
      <c r="AP58" s="99" t="s">
        <v>51</v>
      </c>
      <c r="AQ58" s="100">
        <f>SUBTOTAL(103,vwTable395345678[Наименование])</f>
        <v>2</v>
      </c>
      <c r="AR58" s="99"/>
      <c r="AS58" s="99"/>
      <c r="AT58" s="99"/>
      <c r="AU58" s="99">
        <f>SUBTOTAL(103,vwTable395345678[Примечание])</f>
        <v>0</v>
      </c>
    </row>
    <row r="59" spans="1:47" ht="12" x14ac:dyDescent="0.2"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3"/>
      <c r="AA59" s="13"/>
      <c r="AB59" s="13"/>
      <c r="AC59" s="13"/>
      <c r="AD59" s="13"/>
      <c r="AE59" s="13" t="s">
        <v>10</v>
      </c>
      <c r="AF59" s="33">
        <f>SUM(AF27:AK57)</f>
        <v>6660</v>
      </c>
      <c r="AG59" s="33"/>
      <c r="AH59" s="33"/>
      <c r="AI59" s="33"/>
      <c r="AJ59" s="33"/>
      <c r="AK59" s="33"/>
      <c r="AL59" s="10"/>
      <c r="AP59" s="22"/>
      <c r="AQ59" s="22"/>
      <c r="AR59" s="22"/>
      <c r="AS59" s="22"/>
      <c r="AT59" s="22"/>
      <c r="AU59" s="22"/>
    </row>
    <row r="60" spans="1:47" ht="12" x14ac:dyDescent="0.2"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3"/>
      <c r="AA60" s="13"/>
      <c r="AB60" s="13"/>
      <c r="AC60" s="13"/>
      <c r="AD60" s="13"/>
      <c r="AE60" s="13" t="s">
        <v>11</v>
      </c>
      <c r="AF60" s="33">
        <f>AF59/120%*20%</f>
        <v>1110</v>
      </c>
      <c r="AG60" s="33"/>
      <c r="AH60" s="33"/>
      <c r="AI60" s="33"/>
      <c r="AJ60" s="33"/>
      <c r="AK60" s="33"/>
      <c r="AL60" s="10"/>
    </row>
    <row r="61" spans="1:47" ht="12" x14ac:dyDescent="0.2"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3"/>
      <c r="AA61" s="13"/>
      <c r="AB61" s="13"/>
      <c r="AC61" s="13"/>
      <c r="AD61" s="13"/>
      <c r="AE61" s="13" t="s">
        <v>12</v>
      </c>
      <c r="AF61" s="33">
        <f>ROUND(AF59,2)</f>
        <v>6660</v>
      </c>
      <c r="AG61" s="33"/>
      <c r="AH61" s="33"/>
      <c r="AI61" s="33"/>
      <c r="AJ61" s="33"/>
      <c r="AK61" s="33"/>
      <c r="AL61" s="10"/>
    </row>
    <row r="62" spans="1:47" ht="12" x14ac:dyDescent="0.2">
      <c r="B62" s="46" t="str">
        <f>"Всего наименований "&amp;vwTable395345678[[#Totals],[Наименование]]&amp;"; на сумму "&amp;AF61&amp;" руб."</f>
        <v>Всего наименований 2; на сумму 6660 руб.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</row>
    <row r="63" spans="1:47" ht="13.35" customHeight="1" x14ac:dyDescent="0.2">
      <c r="A63" s="3"/>
      <c r="B63" s="47" t="str">
        <f>СуммаПрописью(AF61)</f>
        <v>Шесть тысяч шестьсот шестьдесят рублей 00 копеек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11"/>
      <c r="AL63" s="11"/>
    </row>
    <row r="64" spans="1:47" ht="13.35" customHeight="1" x14ac:dyDescent="0.2">
      <c r="A64" s="3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11"/>
      <c r="AL64" s="11"/>
    </row>
    <row r="65" spans="1:47" s="2" customFormat="1" ht="6.95" customHeight="1" thickBot="1" x14ac:dyDescent="0.25">
      <c r="A65" s="22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22"/>
      <c r="AN65" s="22"/>
      <c r="AO65" s="22"/>
      <c r="AP65" s="3"/>
      <c r="AQ65" s="3"/>
      <c r="AR65" s="3"/>
      <c r="AS65" s="3"/>
      <c r="AT65" s="3"/>
      <c r="AU65" s="3"/>
    </row>
    <row r="66" spans="1:47" s="2" customFormat="1" ht="6.95" customHeight="1" x14ac:dyDescent="0.2">
      <c r="A66" s="22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22"/>
      <c r="AN66" s="22"/>
      <c r="AO66" s="22"/>
      <c r="AP66" s="22"/>
      <c r="AQ66" s="22"/>
      <c r="AR66" s="22"/>
      <c r="AS66" s="22"/>
      <c r="AT66" s="22"/>
      <c r="AU66" s="22"/>
    </row>
    <row r="67" spans="1:47" s="2" customFormat="1" ht="6.95" customHeight="1" x14ac:dyDescent="0.2">
      <c r="A67" s="22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22"/>
      <c r="AN67" s="22"/>
      <c r="AO67" s="22"/>
      <c r="AP67" s="22"/>
      <c r="AQ67" s="22"/>
      <c r="AR67" s="22"/>
      <c r="AS67" s="22"/>
      <c r="AT67" s="22"/>
      <c r="AU67" s="22"/>
    </row>
    <row r="68" spans="1:47" s="2" customFormat="1" ht="6.6" customHeight="1" x14ac:dyDescent="0.2">
      <c r="A68" s="22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22"/>
      <c r="AN68" s="22"/>
      <c r="AO68" s="22"/>
      <c r="AP68" s="22"/>
      <c r="AQ68" s="22"/>
      <c r="AR68" s="22"/>
      <c r="AS68" s="22"/>
      <c r="AT68" s="22"/>
      <c r="AU68" s="22"/>
    </row>
    <row r="69" spans="1:47" s="2" customFormat="1" ht="6.95" customHeight="1" x14ac:dyDescent="0.2">
      <c r="A69" s="22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22"/>
      <c r="AN69" s="22"/>
      <c r="AO69" s="22"/>
      <c r="AP69" s="22"/>
      <c r="AQ69" s="22"/>
      <c r="AR69" s="22"/>
      <c r="AS69" s="22"/>
      <c r="AT69" s="22"/>
      <c r="AU69" s="22"/>
    </row>
    <row r="70" spans="1:47" s="2" customFormat="1" ht="6.95" customHeight="1" x14ac:dyDescent="0.2">
      <c r="A70" s="22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22"/>
      <c r="AN70" s="22"/>
      <c r="AO70" s="22"/>
      <c r="AP70" s="22"/>
      <c r="AQ70" s="22"/>
      <c r="AR70" s="22"/>
      <c r="AS70" s="22"/>
      <c r="AT70" s="22"/>
      <c r="AU70" s="22"/>
    </row>
    <row r="71" spans="1:47" s="2" customFormat="1" ht="6.95" customHeight="1" x14ac:dyDescent="0.2">
      <c r="A71" s="22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22"/>
      <c r="AN71" s="22"/>
      <c r="AO71" s="22"/>
      <c r="AP71" s="22"/>
      <c r="AQ71" s="22"/>
      <c r="AR71" s="22"/>
      <c r="AS71" s="22"/>
      <c r="AT71" s="22"/>
      <c r="AU71" s="22"/>
    </row>
    <row r="72" spans="1:47" ht="6.6" customHeight="1" x14ac:dyDescent="0.2"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P72" s="22"/>
      <c r="AQ72" s="22"/>
      <c r="AR72" s="22"/>
      <c r="AS72" s="22"/>
      <c r="AT72" s="22"/>
      <c r="AU72" s="22"/>
    </row>
    <row r="73" spans="1:47" ht="12" x14ac:dyDescent="0.2">
      <c r="B73" s="16"/>
      <c r="C73" s="10"/>
      <c r="D73" s="10"/>
      <c r="E73" s="10"/>
      <c r="F73" s="10"/>
      <c r="G73" s="15"/>
      <c r="H73" s="17"/>
      <c r="I73" s="17"/>
      <c r="J73" s="17"/>
      <c r="K73" s="18" t="s">
        <v>13</v>
      </c>
      <c r="L73" s="19"/>
      <c r="M73" s="19"/>
      <c r="N73" s="19"/>
      <c r="O73" s="19"/>
      <c r="P73" s="19"/>
      <c r="Q73" s="19"/>
      <c r="R73" s="19"/>
      <c r="S73" s="19"/>
      <c r="T73" s="19"/>
      <c r="U73" s="15"/>
      <c r="V73" s="15"/>
      <c r="W73" s="20"/>
      <c r="X73" s="20"/>
      <c r="Y73" s="15"/>
      <c r="Z73" s="15"/>
      <c r="AA73" s="15"/>
      <c r="AB73" s="15"/>
      <c r="AC73" s="15"/>
      <c r="AD73" s="15"/>
      <c r="AE73" s="48" t="s">
        <v>58</v>
      </c>
      <c r="AF73" s="48"/>
      <c r="AG73" s="48"/>
      <c r="AH73" s="48"/>
      <c r="AI73" s="48"/>
      <c r="AJ73" s="48"/>
      <c r="AK73" s="48"/>
      <c r="AL73" s="48"/>
    </row>
    <row r="74" spans="1:47" x14ac:dyDescent="0.2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</row>
    <row r="75" spans="1:47" x14ac:dyDescent="0.2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</row>
    <row r="76" spans="1:47" s="3" customFormat="1" x14ac:dyDescent="0.2">
      <c r="A76" s="22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</row>
    <row r="77" spans="1:47" s="3" customFormat="1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</row>
    <row r="78" spans="1:47" s="3" customFormat="1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79" spans="1:47" s="3" customFormat="1" ht="12" x14ac:dyDescent="0.2">
      <c r="A79" s="22"/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</row>
    <row r="80" spans="1:47" s="3" customFormat="1" ht="138.75" customHeight="1" x14ac:dyDescent="0.2">
      <c r="A80" s="62" t="s">
        <v>64</v>
      </c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</row>
    <row r="86" spans="1:44" s="3" customFormat="1" x14ac:dyDescent="0.2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</row>
    <row r="87" spans="1:44" x14ac:dyDescent="0.2">
      <c r="AR87" s="23"/>
    </row>
  </sheetData>
  <sheetProtection formatCells="0" formatColumns="0" formatRows="0" insertColumns="0" insertRows="0" insertHyperlinks="0" deleteColumns="0" deleteRows="0" sort="0" autoFilter="0" pivotTables="0"/>
  <dataConsolidate/>
  <mergeCells count="224">
    <mergeCell ref="B30:C30"/>
    <mergeCell ref="D30:V30"/>
    <mergeCell ref="W30:Y30"/>
    <mergeCell ref="Z30:AB30"/>
    <mergeCell ref="AC30:AE30"/>
    <mergeCell ref="AF30:AK30"/>
    <mergeCell ref="B29:C29"/>
    <mergeCell ref="D29:V29"/>
    <mergeCell ref="W29:Y29"/>
    <mergeCell ref="Z29:AB29"/>
    <mergeCell ref="AC29:AE29"/>
    <mergeCell ref="AF29:AK29"/>
    <mergeCell ref="W2:AL3"/>
    <mergeCell ref="B3:S3"/>
    <mergeCell ref="B8:T8"/>
    <mergeCell ref="U8:X8"/>
    <mergeCell ref="Y8:AL8"/>
    <mergeCell ref="B9:T10"/>
    <mergeCell ref="U9:X10"/>
    <mergeCell ref="Y9:AL10"/>
    <mergeCell ref="B26:C26"/>
    <mergeCell ref="D26:V26"/>
    <mergeCell ref="W26:Y26"/>
    <mergeCell ref="Z26:AB26"/>
    <mergeCell ref="AC26:AE26"/>
    <mergeCell ref="AF26:AK26"/>
    <mergeCell ref="B16:AL17"/>
    <mergeCell ref="B18:AL18"/>
    <mergeCell ref="B11:C11"/>
    <mergeCell ref="D11:J11"/>
    <mergeCell ref="K11:L11"/>
    <mergeCell ref="M11:T11"/>
    <mergeCell ref="U11:X14"/>
    <mergeCell ref="Y11:AL14"/>
    <mergeCell ref="B12:T12"/>
    <mergeCell ref="B13:T14"/>
    <mergeCell ref="B33:C33"/>
    <mergeCell ref="D33:V33"/>
    <mergeCell ref="W33:Y33"/>
    <mergeCell ref="Z33:AB33"/>
    <mergeCell ref="AC33:AE33"/>
    <mergeCell ref="AF33:AK33"/>
    <mergeCell ref="B27:C27"/>
    <mergeCell ref="D27:V27"/>
    <mergeCell ref="W27:Y27"/>
    <mergeCell ref="Z27:AB27"/>
    <mergeCell ref="AC27:AE27"/>
    <mergeCell ref="AF27:AK27"/>
    <mergeCell ref="W28:Y28"/>
    <mergeCell ref="Z28:AB28"/>
    <mergeCell ref="AC28:AE28"/>
    <mergeCell ref="AF28:AK28"/>
    <mergeCell ref="B31:C31"/>
    <mergeCell ref="D31:V31"/>
    <mergeCell ref="B28:C28"/>
    <mergeCell ref="D28:V28"/>
    <mergeCell ref="W31:Y31"/>
    <mergeCell ref="Z31:AB31"/>
    <mergeCell ref="AC31:AE31"/>
    <mergeCell ref="AF31:AK31"/>
    <mergeCell ref="B35:C35"/>
    <mergeCell ref="D35:V35"/>
    <mergeCell ref="W35:Y35"/>
    <mergeCell ref="Z35:AB35"/>
    <mergeCell ref="AC35:AE35"/>
    <mergeCell ref="AF35:AK35"/>
    <mergeCell ref="B34:C34"/>
    <mergeCell ref="D34:V34"/>
    <mergeCell ref="W34:Y34"/>
    <mergeCell ref="Z34:AB34"/>
    <mergeCell ref="AC34:AE34"/>
    <mergeCell ref="AF34:AK34"/>
    <mergeCell ref="B39:C39"/>
    <mergeCell ref="D39:V39"/>
    <mergeCell ref="W39:Y39"/>
    <mergeCell ref="Z39:AB39"/>
    <mergeCell ref="AC39:AE39"/>
    <mergeCell ref="AF39:AK39"/>
    <mergeCell ref="B32:C32"/>
    <mergeCell ref="D32:V32"/>
    <mergeCell ref="W32:Y32"/>
    <mergeCell ref="Z32:AB32"/>
    <mergeCell ref="AC32:AE32"/>
    <mergeCell ref="AF32:AK32"/>
    <mergeCell ref="B37:C37"/>
    <mergeCell ref="D37:V37"/>
    <mergeCell ref="W37:Y37"/>
    <mergeCell ref="Z37:AB37"/>
    <mergeCell ref="AC37:AE37"/>
    <mergeCell ref="AF37:AK37"/>
    <mergeCell ref="B36:C36"/>
    <mergeCell ref="D36:V36"/>
    <mergeCell ref="W36:Y36"/>
    <mergeCell ref="Z36:AB36"/>
    <mergeCell ref="AC36:AE36"/>
    <mergeCell ref="AF36:AK36"/>
    <mergeCell ref="B41:C41"/>
    <mergeCell ref="D41:V41"/>
    <mergeCell ref="W41:Y41"/>
    <mergeCell ref="Z41:AB41"/>
    <mergeCell ref="AC41:AE41"/>
    <mergeCell ref="AF41:AK41"/>
    <mergeCell ref="B40:C40"/>
    <mergeCell ref="D40:V40"/>
    <mergeCell ref="W40:Y40"/>
    <mergeCell ref="Z40:AB40"/>
    <mergeCell ref="AC40:AE40"/>
    <mergeCell ref="AF40:AK40"/>
    <mergeCell ref="B45:C45"/>
    <mergeCell ref="D45:V45"/>
    <mergeCell ref="W45:Y45"/>
    <mergeCell ref="Z45:AB45"/>
    <mergeCell ref="AC45:AE45"/>
    <mergeCell ref="AF45:AK45"/>
    <mergeCell ref="B38:C38"/>
    <mergeCell ref="D38:V38"/>
    <mergeCell ref="W38:Y38"/>
    <mergeCell ref="Z38:AB38"/>
    <mergeCell ref="AC38:AE38"/>
    <mergeCell ref="AF38:AK38"/>
    <mergeCell ref="B43:C43"/>
    <mergeCell ref="D43:V43"/>
    <mergeCell ref="W43:Y43"/>
    <mergeCell ref="Z43:AB43"/>
    <mergeCell ref="AC43:AE43"/>
    <mergeCell ref="AF43:AK43"/>
    <mergeCell ref="B42:C42"/>
    <mergeCell ref="D42:V42"/>
    <mergeCell ref="W42:Y42"/>
    <mergeCell ref="Z42:AB42"/>
    <mergeCell ref="AC42:AE42"/>
    <mergeCell ref="AF42:AK42"/>
    <mergeCell ref="W47:Y47"/>
    <mergeCell ref="Z47:AB47"/>
    <mergeCell ref="AC47:AE47"/>
    <mergeCell ref="AF47:AK47"/>
    <mergeCell ref="B46:C46"/>
    <mergeCell ref="D46:V46"/>
    <mergeCell ref="W46:Y46"/>
    <mergeCell ref="Z46:AB46"/>
    <mergeCell ref="AC46:AE46"/>
    <mergeCell ref="AF46:AK46"/>
    <mergeCell ref="W51:Y51"/>
    <mergeCell ref="Z51:AB51"/>
    <mergeCell ref="AC51:AE51"/>
    <mergeCell ref="AF51:AK51"/>
    <mergeCell ref="B44:C44"/>
    <mergeCell ref="D44:V44"/>
    <mergeCell ref="W44:Y44"/>
    <mergeCell ref="Z44:AB44"/>
    <mergeCell ref="AC44:AE44"/>
    <mergeCell ref="AF44:AK44"/>
    <mergeCell ref="B49:C49"/>
    <mergeCell ref="D49:V49"/>
    <mergeCell ref="W49:Y49"/>
    <mergeCell ref="Z49:AB49"/>
    <mergeCell ref="AC49:AE49"/>
    <mergeCell ref="AF49:AK49"/>
    <mergeCell ref="B48:C48"/>
    <mergeCell ref="D48:V48"/>
    <mergeCell ref="W48:Y48"/>
    <mergeCell ref="Z48:AB48"/>
    <mergeCell ref="AC48:AE48"/>
    <mergeCell ref="AF48:AK48"/>
    <mergeCell ref="B47:C47"/>
    <mergeCell ref="D47:V47"/>
    <mergeCell ref="A80:AL80"/>
    <mergeCell ref="B56:C56"/>
    <mergeCell ref="D56:V56"/>
    <mergeCell ref="W56:Y56"/>
    <mergeCell ref="Z56:AB56"/>
    <mergeCell ref="AC56:AE56"/>
    <mergeCell ref="AF56:AK56"/>
    <mergeCell ref="B50:C50"/>
    <mergeCell ref="D50:V50"/>
    <mergeCell ref="W50:Y50"/>
    <mergeCell ref="Z50:AB50"/>
    <mergeCell ref="AC50:AE50"/>
    <mergeCell ref="AF50:AK50"/>
    <mergeCell ref="B55:C55"/>
    <mergeCell ref="D55:V55"/>
    <mergeCell ref="W55:Y55"/>
    <mergeCell ref="Z55:AB55"/>
    <mergeCell ref="AC55:AE55"/>
    <mergeCell ref="AF55:AK55"/>
    <mergeCell ref="B54:C54"/>
    <mergeCell ref="D54:V54"/>
    <mergeCell ref="W54:Y54"/>
    <mergeCell ref="Z54:AB54"/>
    <mergeCell ref="AC54:AE54"/>
    <mergeCell ref="B62:AL62"/>
    <mergeCell ref="B63:AJ63"/>
    <mergeCell ref="AE73:AL73"/>
    <mergeCell ref="B64:AJ64"/>
    <mergeCell ref="B57:C57"/>
    <mergeCell ref="D57:V57"/>
    <mergeCell ref="W57:Y57"/>
    <mergeCell ref="Z57:AB57"/>
    <mergeCell ref="AC57:AE57"/>
    <mergeCell ref="AF57:AK57"/>
    <mergeCell ref="G20:AL20"/>
    <mergeCell ref="B20:F20"/>
    <mergeCell ref="B22:F22"/>
    <mergeCell ref="G22:AL22"/>
    <mergeCell ref="B24:F24"/>
    <mergeCell ref="G24:AL24"/>
    <mergeCell ref="AF59:AK59"/>
    <mergeCell ref="AF60:AK60"/>
    <mergeCell ref="AF61:AK61"/>
    <mergeCell ref="AF54:AK54"/>
    <mergeCell ref="B53:C53"/>
    <mergeCell ref="D53:V53"/>
    <mergeCell ref="W53:Y53"/>
    <mergeCell ref="Z53:AB53"/>
    <mergeCell ref="AC53:AE53"/>
    <mergeCell ref="AF53:AK53"/>
    <mergeCell ref="B52:C52"/>
    <mergeCell ref="D52:V52"/>
    <mergeCell ref="W52:Y52"/>
    <mergeCell ref="Z52:AB52"/>
    <mergeCell ref="AC52:AE52"/>
    <mergeCell ref="AF52:AK52"/>
    <mergeCell ref="B51:C51"/>
    <mergeCell ref="D51:V51"/>
  </mergeCells>
  <pageMargins left="0.70866141732283472" right="0.31496062992125984" top="0.19685039370078741" bottom="0.35433070866141736" header="0.31496062992125984" footer="0.31496062992125984"/>
  <pageSetup paperSize="9" scale="9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tnPdf">
                <anchor moveWithCells="1">
                  <from>
                    <xdr:col>42</xdr:col>
                    <xdr:colOff>38100</xdr:colOff>
                    <xdr:row>2</xdr:row>
                    <xdr:rowOff>133350</xdr:rowOff>
                  </from>
                  <to>
                    <xdr:col>42</xdr:col>
                    <xdr:colOff>1028700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btnAddRows">
                <anchor moveWithCells="1">
                  <from>
                    <xdr:col>42</xdr:col>
                    <xdr:colOff>57150</xdr:colOff>
                    <xdr:row>1</xdr:row>
                    <xdr:rowOff>76200</xdr:rowOff>
                  </from>
                  <to>
                    <xdr:col>42</xdr:col>
                    <xdr:colOff>1552575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T11"/>
  <sheetViews>
    <sheetView workbookViewId="0">
      <selection activeCell="A2" sqref="A2"/>
    </sheetView>
  </sheetViews>
  <sheetFormatPr defaultRowHeight="15" x14ac:dyDescent="0.25"/>
  <cols>
    <col min="1" max="1" width="39.7109375" bestFit="1" customWidth="1"/>
    <col min="2" max="2" width="20.140625" bestFit="1" customWidth="1"/>
    <col min="3" max="3" width="1.7109375" customWidth="1"/>
    <col min="4" max="4" width="21.85546875" customWidth="1"/>
    <col min="5" max="5" width="2.7109375" customWidth="1"/>
    <col min="6" max="6" width="21.85546875" customWidth="1"/>
    <col min="7" max="7" width="3" customWidth="1"/>
    <col min="8" max="8" width="9.7109375" customWidth="1"/>
    <col min="9" max="9" width="2.5703125" customWidth="1"/>
    <col min="10" max="10" width="16.42578125" customWidth="1"/>
    <col min="11" max="11" width="1.7109375" customWidth="1"/>
    <col min="12" max="12" width="14.28515625" customWidth="1"/>
    <col min="13" max="13" width="1.7109375" customWidth="1"/>
    <col min="14" max="14" width="9.7109375" customWidth="1"/>
    <col min="15" max="15" width="1.85546875" customWidth="1"/>
    <col min="16" max="16" width="16.42578125" customWidth="1"/>
    <col min="17" max="17" width="1.85546875" customWidth="1"/>
    <col min="18" max="18" width="11" bestFit="1" customWidth="1"/>
    <col min="19" max="19" width="2.85546875" customWidth="1"/>
  </cols>
  <sheetData>
    <row r="1" spans="1:20" x14ac:dyDescent="0.25">
      <c r="A1" t="s">
        <v>61</v>
      </c>
      <c r="B1" t="s">
        <v>25</v>
      </c>
      <c r="D1" t="s">
        <v>53</v>
      </c>
      <c r="F1" t="s">
        <v>26</v>
      </c>
      <c r="H1" t="s">
        <v>30</v>
      </c>
      <c r="J1" t="s">
        <v>31</v>
      </c>
      <c r="L1" t="s">
        <v>32</v>
      </c>
      <c r="N1" t="s">
        <v>49</v>
      </c>
      <c r="P1" t="s">
        <v>50</v>
      </c>
      <c r="R1" t="s">
        <v>44</v>
      </c>
      <c r="T1" t="s">
        <v>45</v>
      </c>
    </row>
    <row r="2" spans="1:20" x14ac:dyDescent="0.25">
      <c r="A2">
        <v>1</v>
      </c>
      <c r="B2" t="s">
        <v>53</v>
      </c>
      <c r="D2" t="s">
        <v>29</v>
      </c>
      <c r="F2" t="s">
        <v>29</v>
      </c>
      <c r="H2" t="s">
        <v>27</v>
      </c>
      <c r="J2" t="s">
        <v>34</v>
      </c>
      <c r="L2" t="s">
        <v>38</v>
      </c>
      <c r="N2" t="s">
        <v>27</v>
      </c>
      <c r="P2" t="s">
        <v>34</v>
      </c>
      <c r="R2" s="24" t="s">
        <v>55</v>
      </c>
      <c r="T2" t="s">
        <v>46</v>
      </c>
    </row>
    <row r="3" spans="1:20" x14ac:dyDescent="0.25">
      <c r="F3" t="s">
        <v>28</v>
      </c>
      <c r="H3" t="s">
        <v>33</v>
      </c>
      <c r="J3" t="s">
        <v>35</v>
      </c>
      <c r="L3" t="s">
        <v>39</v>
      </c>
      <c r="N3" t="s">
        <v>33</v>
      </c>
      <c r="P3" t="s">
        <v>35</v>
      </c>
      <c r="R3" s="24" t="s">
        <v>54</v>
      </c>
      <c r="T3" t="s">
        <v>47</v>
      </c>
    </row>
    <row r="4" spans="1:20" ht="15" customHeight="1" x14ac:dyDescent="0.25">
      <c r="H4" t="s">
        <v>17</v>
      </c>
      <c r="J4" t="s">
        <v>36</v>
      </c>
      <c r="L4" t="s">
        <v>40</v>
      </c>
      <c r="N4" t="s">
        <v>17</v>
      </c>
      <c r="P4" t="s">
        <v>36</v>
      </c>
      <c r="R4" t="s">
        <v>56</v>
      </c>
      <c r="T4" t="s">
        <v>48</v>
      </c>
    </row>
    <row r="5" spans="1:20" x14ac:dyDescent="0.25">
      <c r="H5" s="24" t="s">
        <v>57</v>
      </c>
      <c r="J5" t="s">
        <v>37</v>
      </c>
      <c r="L5" t="s">
        <v>41</v>
      </c>
      <c r="N5" t="s">
        <v>42</v>
      </c>
      <c r="P5" t="s">
        <v>43</v>
      </c>
    </row>
    <row r="9" spans="1:20" x14ac:dyDescent="0.25">
      <c r="H9" s="24"/>
      <c r="I9" s="24"/>
      <c r="J9" s="24"/>
      <c r="K9" s="24"/>
      <c r="L9" s="24"/>
      <c r="M9" s="24"/>
      <c r="N9" s="24"/>
      <c r="O9" s="24"/>
      <c r="P9" s="24"/>
      <c r="R9" s="24"/>
      <c r="S9" s="24"/>
      <c r="T9" s="24"/>
    </row>
    <row r="10" spans="1:20" x14ac:dyDescent="0.25">
      <c r="H10" s="24"/>
      <c r="I10" s="24"/>
      <c r="J10" s="24"/>
      <c r="K10" s="24"/>
      <c r="L10" s="24"/>
      <c r="M10" s="24"/>
      <c r="N10" s="24"/>
      <c r="O10" s="24"/>
      <c r="P10" s="24"/>
      <c r="R10" s="24"/>
      <c r="S10" s="24"/>
      <c r="T10" s="24"/>
    </row>
    <row r="11" spans="1:20" x14ac:dyDescent="0.25">
      <c r="H11" s="24"/>
      <c r="I11" s="24"/>
      <c r="J11" s="24"/>
      <c r="K11" s="24"/>
      <c r="L11" s="24"/>
      <c r="M11" s="24"/>
      <c r="N11" s="24"/>
      <c r="O11" s="24"/>
      <c r="P11" s="24"/>
      <c r="R11" s="24"/>
      <c r="S11" s="24"/>
      <c r="T11" s="24"/>
    </row>
  </sheetData>
  <pageMargins left="0.7" right="0.7" top="0.75" bottom="0.75" header="0.3" footer="0.3"/>
  <drawing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CEB391-71BC-4F37-BCC1-B5564AF7AC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17</vt:i4>
      </vt:variant>
    </vt:vector>
  </HeadingPairs>
  <TitlesOfParts>
    <vt:vector size="19" baseType="lpstr">
      <vt:lpstr>НДС внутри</vt:lpstr>
      <vt:lpstr>Data</vt:lpstr>
      <vt:lpstr>FirstRun</vt:lpstr>
      <vt:lpstr>img</vt:lpstr>
      <vt:lpstr>pdfName</vt:lpstr>
      <vt:lpstr>rKpDate</vt:lpstr>
      <vt:lpstr>rKpNum</vt:lpstr>
      <vt:lpstr>term</vt:lpstr>
      <vt:lpstr>TmplPath</vt:lpstr>
      <vt:lpstr>Total</vt:lpstr>
      <vt:lpstr>Total1</vt:lpstr>
      <vt:lpstr>Total2</vt:lpstr>
      <vt:lpstr>Total3</vt:lpstr>
      <vt:lpstr>Total4</vt:lpstr>
      <vt:lpstr>Total5</vt:lpstr>
      <vt:lpstr>Total6</vt:lpstr>
      <vt:lpstr>'НДС внутри'!vwBuyer</vt:lpstr>
      <vt:lpstr>'НДС внутри'!vwNumDate</vt:lpstr>
      <vt:lpstr>'НДС внутри'!Область_печати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cp:lastPrinted>2018-09-07T18:00:59Z</cp:lastPrinted>
  <dcterms:created xsi:type="dcterms:W3CDTF">2018-06-21T07:46:18Z</dcterms:created>
  <dcterms:modified xsi:type="dcterms:W3CDTF">2021-09-28T10:45:53Z</dcterms:modified>
</cp:coreProperties>
</file>